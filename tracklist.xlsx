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0476B363-1BBB-4BFE-A0CF-1D852486C90A}" xr6:coauthVersionLast="47" xr6:coauthVersionMax="47" xr10:uidLastSave="{00000000-0000-0000-0000-000000000000}"/>
  <bookViews>
    <workbookView xWindow="19212" yWindow="2244" windowWidth="23772" windowHeight="16824" activeTab="1" xr2:uid="{00000000-000D-0000-FFFF-FFFF00000000}"/>
  </bookViews>
  <sheets>
    <sheet name="Sheet1" sheetId="1" r:id="rId1"/>
    <sheet name="Sheet2" sheetId="2" r:id="rId2"/>
    <sheet name="テーブル 5 (17)" sheetId="48" r:id="rId3"/>
    <sheet name="テーブル 5 (15)" sheetId="47" r:id="rId4"/>
    <sheet name="テーブル 5 (13)" sheetId="46" r:id="rId5"/>
    <sheet name="テーブル 5 (11)" sheetId="45" r:id="rId6"/>
  </sheets>
  <definedNames>
    <definedName name="ExternalData_1" localSheetId="2" hidden="1">'テーブル 5 (17)'!$A$1:$E$11</definedName>
    <definedName name="ExternalData_2" localSheetId="0" hidden="1">Sheet1!$A$1:$E$11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0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91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92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93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94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95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96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<sst xmlns="http://schemas.openxmlformats.org/spreadsheetml/2006/main" count="240" uniqueCount="26">
  <si>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</si>
  <si>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</si>
  <si>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</si>
  <si>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</si>
  <si>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</si>
  <si>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</si>
  <si>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</si>
  <si>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</si>
  <si>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Damn Gloves</t>
  </si>
  <si>
    <t>Ty Dolla $ign, Yanga Yaya, serpentwithfeet</t>
  </si>
  <si>
    <t>serpentwithfeet feat. Ty Dolla $ign, Yanga Yaya</t>
  </si>
  <si>
    <t>Safe Word</t>
  </si>
  <si>
    <t>serpentwithfeet</t>
  </si>
  <si>
    <t>Spades</t>
  </si>
  <si>
    <t>Sensei Bueno, serpentwithfeet</t>
  </si>
  <si>
    <t>Deep End</t>
  </si>
  <si>
    <t>Rum/Throwback</t>
  </si>
  <si>
    <t>Black Air Force</t>
  </si>
  <si>
    <t>Mick Jenkins, serpentwithfeet</t>
  </si>
  <si>
    <t>serpentwithfeet feat. Mick Jenkins</t>
  </si>
  <si>
    <t>Hummin'</t>
  </si>
  <si>
    <t>Ellipsis</t>
  </si>
  <si>
    <t>Orion Sun, serpentwithfeet</t>
  </si>
  <si>
    <t>serpentwithfeet frat. Orion Sun</t>
  </si>
  <si>
    <t>Lucky Me</t>
  </si>
  <si>
    <t>1 To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</si>
</sst>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8" xr16:uid="{1A221033-8442-45D3-BE5D-4F1C540B7280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7" xr16:uid="{E9869A32-C471-4590-974B-12E90BB46E0D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DCE30B-D2ED-49CE-8C8A-56A50887168C}" name="テーブル_5__175" displayName="テーブル_5__175" ref="A1:E11" tableType="queryTable" totalsRowShown="0">
  <autoFilter ref="A1:E11" xr:uid="{59DCE30B-D2ED-49CE-8C8A-56A50887168C}"/>
  <tableColumns count="5">
    <tableColumn id="1" xr3:uid="{A06AB582-03E1-43EA-8ED6-9D43DC96E828}" uniqueName="1" name="Column1" queryTableFieldId="1"/>
    <tableColumn id="2" xr3:uid="{39D96B97-5213-4A2F-B3F7-24D9BB6EFC51}" uniqueName="2" name="Title" queryTableFieldId="2" dataDxfId="3"/>
    <tableColumn id="3" xr3:uid="{A304A647-C1B6-49D1-B735-61794AB1C293}" uniqueName="3" name="Composer" queryTableFieldId="3" dataDxfId="2"/>
    <tableColumn id="4" xr3:uid="{AADF42C0-8441-491B-8DC8-E41E20D9E3B0}" uniqueName="4" name="Performer" queryTableFieldId="4" dataDxfId="1"/>
    <tableColumn id="5" xr3:uid="{7E07E95D-F705-447D-AB54-029647741240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4AFC70-6258-4414-833D-E1D8015AF63F}" name="テーブル_5__17" displayName="テーブル_5__17" ref="A1:E11" tableType="queryTable" totalsRowShown="0">
  <autoFilter ref="A1:E11" xr:uid="{EE4AFC70-6258-4414-833D-E1D8015AF63F}"/>
  <tableColumns count="5">
    <tableColumn id="1" xr3:uid="{E7D36A96-D45E-4C40-9661-2FF552C24DF8}" uniqueName="1" name="Column1" queryTableFieldId="1"/>
    <tableColumn id="2" xr3:uid="{4DA355D5-AE57-44D2-AAB3-E3E4E45CAECD}" uniqueName="2" name="Title" queryTableFieldId="2" dataDxfId="7"/>
    <tableColumn id="3" xr3:uid="{F2CF4A21-43E0-430F-8C5A-9D8D7C17558A}" uniqueName="3" name="Composer" queryTableFieldId="3" dataDxfId="6"/>
    <tableColumn id="4" xr3:uid="{F9802D0B-8515-4BB7-8249-82110F52951F}" uniqueName="4" name="Performer" queryTableFieldId="4" dataDxfId="5"/>
    <tableColumn id="5" xr3:uid="{5CD19DA1-F2B6-41EA-891F-859E4B8B3B67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5.81640625" bestFit="1" customWidth="1"/>
    <col min="3" max="3" width="39.7265625" bestFit="1" customWidth="1"/>
    <col min="4" max="4" width="43.9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0.10555555555555556</v>
      </c>
    </row>
    <row r="3" spans="1:5">
      <c r="A3">
        <v>2</v>
      </c>
      <c r="B3" s="6" t="s">
        <v>11</v>
      </c>
      <c r="C3" s="6" t="s">
        <v>12</v>
      </c>
      <c r="D3" s="6" t="s">
        <v>12</v>
      </c>
      <c r="E3" s="5">
        <v>0.11527777777777778</v>
      </c>
    </row>
    <row r="4" spans="1:5">
      <c r="A4">
        <v>3</v>
      </c>
      <c r="B4" s="6" t="s">
        <v>13</v>
      </c>
      <c r="C4" s="6" t="s">
        <v>14</v>
      </c>
      <c r="D4" s="6" t="s">
        <v>12</v>
      </c>
      <c r="E4" s="5">
        <v>0.1423611111111111</v>
      </c>
    </row>
    <row r="5" spans="1:5">
      <c r="A5">
        <v>4</v>
      </c>
      <c r="B5" s="6" t="s">
        <v>15</v>
      </c>
      <c r="C5" s="6" t="s">
        <v>12</v>
      </c>
      <c r="D5" s="6" t="s">
        <v>12</v>
      </c>
      <c r="E5" s="5">
        <v>0.11527777777777778</v>
      </c>
    </row>
    <row r="6" spans="1:5">
      <c r="A6">
        <v>5</v>
      </c>
      <c r="B6" s="6" t="s">
        <v>16</v>
      </c>
      <c r="C6" s="6" t="s">
        <v>12</v>
      </c>
      <c r="D6" s="6" t="s">
        <v>12</v>
      </c>
      <c r="E6" s="5">
        <v>0.15416666666666667</v>
      </c>
    </row>
    <row r="7" spans="1:5">
      <c r="A7">
        <v>6</v>
      </c>
      <c r="B7" s="6" t="s">
        <v>17</v>
      </c>
      <c r="C7" s="6" t="s">
        <v>18</v>
      </c>
      <c r="D7" s="6" t="s">
        <v>19</v>
      </c>
      <c r="E7" s="5">
        <v>0.11666666666666667</v>
      </c>
    </row>
    <row r="8" spans="1:5">
      <c r="A8">
        <v>7</v>
      </c>
      <c r="B8" s="6" t="s">
        <v>20</v>
      </c>
      <c r="C8" s="6" t="s">
        <v>12</v>
      </c>
      <c r="D8" s="6" t="s">
        <v>12</v>
      </c>
      <c r="E8" s="5">
        <v>0.12083333333333333</v>
      </c>
    </row>
    <row r="9" spans="1:5">
      <c r="A9">
        <v>8</v>
      </c>
      <c r="B9" s="6" t="s">
        <v>21</v>
      </c>
      <c r="C9" s="6" t="s">
        <v>22</v>
      </c>
      <c r="D9" s="6" t="s">
        <v>23</v>
      </c>
      <c r="E9" s="5">
        <v>0.13958333333333334</v>
      </c>
    </row>
    <row r="10" spans="1:5">
      <c r="A10">
        <v>9</v>
      </c>
      <c r="B10" s="6" t="s">
        <v>24</v>
      </c>
      <c r="C10" s="6" t="s">
        <v>12</v>
      </c>
      <c r="D10" s="6" t="s">
        <v>12</v>
      </c>
      <c r="E10" s="5">
        <v>0.10208333333333333</v>
      </c>
    </row>
    <row r="11" spans="1:5">
      <c r="A11">
        <v>10</v>
      </c>
      <c r="B11" s="6" t="s">
        <v>25</v>
      </c>
      <c r="C11" s="6" t="s">
        <v>12</v>
      </c>
      <c r="D11" s="6" t="s">
        <v>12</v>
      </c>
      <c r="E11" s="5">
        <v>0.10486111111111111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14" sqref="A3:K14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2695312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15</v>
      </c>
      <c r="F2" s="1">
        <f t="array" ref="F2">MAX(LENB(Sheet1!C1:'Sheet1'!C30))</f>
        <v>42</v>
      </c>
      <c r="H2" s="1">
        <f t="array" ref="H2">MAX(LENB(Sheet1!D1:'Sheet1'!D30))</f>
        <v>47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</v>
      </c>
      <c r="E3" s="3" t="s">
        <v>0</v>
      </c>
      <c r="F3" t="str">
        <f>" "&amp;LEFTB("Composers"&amp;REPT(" ",$F$2-1),$F$2-1)</f>
        <v xml:space="preserve"> Composers                                </v>
      </c>
      <c r="G3" s="3" t="s">
        <v>0</v>
      </c>
      <c r="H3" t="str">
        <f>" "&amp;LEFTB("Performer"&amp;REPT(" ",$H$2),$H$2)</f>
        <v xml:space="preserve"> Performer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 </v>
      </c>
      <c r="E4" s="3" t="s">
        <v>0</v>
      </c>
      <c r="F4" t="str">
        <f>" "&amp;REPT("-",$F$2)&amp;" "</f>
        <v xml:space="preserve"> ------------------------------------------ </v>
      </c>
      <c r="G4" s="3" t="s">
        <v>0</v>
      </c>
      <c r="H4" t="str">
        <f>" "&amp;REPT("-",$H$2)&amp;" "</f>
        <v xml:space="preserve"> 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Damn Gloves    </v>
      </c>
      <c r="E5" s="3" t="s">
        <v>0</v>
      </c>
      <c r="F5" t="str">
        <f>" "&amp;LEFTB(Sheet1!C2&amp;REPT(" ",$F$2),$F$2)</f>
        <v xml:space="preserve"> Ty Dolla $ign, Yanga Yaya, serpentwithfeet</v>
      </c>
      <c r="G5" s="3" t="s">
        <v>0</v>
      </c>
      <c r="H5" t="str">
        <f>LEFTB(Sheet1!D2&amp;REPT(" ",$H$2),$H$2)</f>
        <v>serpentwithfeet feat. Ty Dolla $ign, Yanga Yaya</v>
      </c>
      <c r="I5" s="3" t="s">
        <v>0</v>
      </c>
      <c r="J5" s="2" t="str">
        <f>TEXT(Sheet1!E2,"HH:MM")&amp;" "</f>
        <v xml:space="preserve">02:32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Safe Word      </v>
      </c>
      <c r="E6" s="3" t="s">
        <v>0</v>
      </c>
      <c r="F6" t="str">
        <f>" "&amp;LEFTB(Sheet1!C3&amp;REPT(" ",$F$2),$F$2)</f>
        <v xml:space="preserve"> serpentwithfeet                           </v>
      </c>
      <c r="G6" s="3" t="s">
        <v>0</v>
      </c>
      <c r="H6" t="str">
        <f>LEFTB(Sheet1!D3&amp;REPT(" ",$H$2),$H$2)</f>
        <v xml:space="preserve">serpentwithfeet                                </v>
      </c>
      <c r="I6" s="3" t="s">
        <v>0</v>
      </c>
      <c r="J6" s="2" t="str">
        <f>TEXT(Sheet1!E3,"HH:MM")&amp;" "</f>
        <v xml:space="preserve">02:46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Spades         </v>
      </c>
      <c r="E7" s="3" t="s">
        <v>0</v>
      </c>
      <c r="F7" t="str">
        <f>" "&amp;LEFTB(Sheet1!C4&amp;REPT(" ",$F$2),$F$2)</f>
        <v xml:space="preserve"> Sensei Bueno, serpentwithfeet             </v>
      </c>
      <c r="G7" s="3" t="s">
        <v>0</v>
      </c>
      <c r="H7" t="str">
        <f>LEFTB(Sheet1!D4&amp;REPT(" ",$H$2),$H$2)</f>
        <v xml:space="preserve">serpentwithfeet                                </v>
      </c>
      <c r="I7" s="3" t="s">
        <v>0</v>
      </c>
      <c r="J7" s="2" t="str">
        <f>TEXT(Sheet1!E4,"HH:MM")&amp;" "</f>
        <v xml:space="preserve">03:25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Deep End       </v>
      </c>
      <c r="E8" s="3" t="s">
        <v>0</v>
      </c>
      <c r="F8" t="str">
        <f>" "&amp;LEFTB(Sheet1!C5&amp;REPT(" ",$F$2),$F$2)</f>
        <v xml:space="preserve"> serpentwithfeet                           </v>
      </c>
      <c r="G8" s="3" t="s">
        <v>0</v>
      </c>
      <c r="H8" t="str">
        <f>LEFTB(Sheet1!D5&amp;REPT(" ",$H$2),$H$2)</f>
        <v xml:space="preserve">serpentwithfeet                                </v>
      </c>
      <c r="I8" s="3" t="s">
        <v>0</v>
      </c>
      <c r="J8" s="2" t="str">
        <f>TEXT(Sheet1!E5,"HH:MM")&amp;" "</f>
        <v xml:space="preserve">02:46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Rum/Throwback  </v>
      </c>
      <c r="E9" s="3" t="s">
        <v>0</v>
      </c>
      <c r="F9" t="str">
        <f>" "&amp;LEFTB(Sheet1!C6&amp;REPT(" ",$F$2),$F$2)</f>
        <v xml:space="preserve"> serpentwithfeet                           </v>
      </c>
      <c r="G9" s="3" t="s">
        <v>0</v>
      </c>
      <c r="H9" t="str">
        <f>LEFTB(Sheet1!D6&amp;REPT(" ",$H$2),$H$2)</f>
        <v xml:space="preserve">serpentwithfeet                                </v>
      </c>
      <c r="I9" s="3" t="s">
        <v>0</v>
      </c>
      <c r="J9" s="2" t="str">
        <f>TEXT(Sheet1!E6,"HH:MM")&amp;" "</f>
        <v xml:space="preserve">03:42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>Black Air Force</v>
      </c>
      <c r="E10" s="3" t="s">
        <v>0</v>
      </c>
      <c r="F10" t="str">
        <f>" "&amp;LEFTB(Sheet1!C7&amp;REPT(" ",$F$2),$F$2)</f>
        <v xml:space="preserve"> Mick Jenkins, serpentwithfeet             </v>
      </c>
      <c r="G10" s="3" t="s">
        <v>0</v>
      </c>
      <c r="H10" t="str">
        <f>LEFTB(Sheet1!D7&amp;REPT(" ",$H$2),$H$2)</f>
        <v xml:space="preserve">serpentwithfeet feat. Mick Jenkins             </v>
      </c>
      <c r="I10" s="3" t="s">
        <v>0</v>
      </c>
      <c r="J10" s="2" t="str">
        <f>TEXT(Sheet1!E7,"HH:MM")&amp;" "</f>
        <v xml:space="preserve">02:48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Hummin'        </v>
      </c>
      <c r="E11" s="3" t="s">
        <v>0</v>
      </c>
      <c r="F11" t="str">
        <f>" "&amp;LEFTB(Sheet1!C8&amp;REPT(" ",$F$2),$F$2)</f>
        <v xml:space="preserve"> serpentwithfeet                           </v>
      </c>
      <c r="G11" s="3" t="s">
        <v>0</v>
      </c>
      <c r="H11" t="str">
        <f>LEFTB(Sheet1!D8&amp;REPT(" ",$H$2),$H$2)</f>
        <v xml:space="preserve">serpentwithfeet                                </v>
      </c>
      <c r="I11" s="3" t="s">
        <v>0</v>
      </c>
      <c r="J11" s="2" t="str">
        <f>TEXT(Sheet1!E8,"HH:MM")&amp;" "</f>
        <v xml:space="preserve">02:54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Ellipsis       </v>
      </c>
      <c r="E12" s="3" t="s">
        <v>0</v>
      </c>
      <c r="F12" t="str">
        <f>" "&amp;LEFTB(Sheet1!C9&amp;REPT(" ",$F$2),$F$2)</f>
        <v xml:space="preserve"> Orion Sun, serpentwithfeet                </v>
      </c>
      <c r="G12" s="3" t="s">
        <v>0</v>
      </c>
      <c r="H12" t="str">
        <f>LEFTB(Sheet1!D9&amp;REPT(" ",$H$2),$H$2)</f>
        <v xml:space="preserve">serpentwithfeet frat. Orion Sun                </v>
      </c>
      <c r="I12" s="3" t="s">
        <v>0</v>
      </c>
      <c r="J12" s="2" t="str">
        <f>TEXT(Sheet1!E9,"HH:MM")&amp;" "</f>
        <v xml:space="preserve">03:21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Lucky Me       </v>
      </c>
      <c r="E13" s="3" t="s">
        <v>0</v>
      </c>
      <c r="F13" t="str">
        <f>" "&amp;LEFTB(Sheet1!C10&amp;REPT(" ",$F$2),$F$2)</f>
        <v xml:space="preserve"> serpentwithfeet                           </v>
      </c>
      <c r="G13" s="3" t="s">
        <v>0</v>
      </c>
      <c r="H13" t="str">
        <f>LEFTB(Sheet1!D10&amp;REPT(" ",$H$2),$H$2)</f>
        <v xml:space="preserve">serpentwithfeet                                </v>
      </c>
      <c r="I13" s="3" t="s">
        <v>0</v>
      </c>
      <c r="J13" s="2" t="str">
        <f>TEXT(Sheet1!E10,"HH:MM")&amp;" "</f>
        <v xml:space="preserve">02:27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1 To 10        </v>
      </c>
      <c r="E14" s="3" t="s">
        <v>0</v>
      </c>
      <c r="F14" t="str">
        <f>" "&amp;LEFTB(Sheet1!C11&amp;REPT(" ",$F$2),$F$2)</f>
        <v xml:space="preserve"> serpentwithfeet                           </v>
      </c>
      <c r="G14" s="3" t="s">
        <v>0</v>
      </c>
      <c r="H14" t="str">
        <f>LEFTB(Sheet1!D11&amp;REPT(" ",$H$2),$H$2)</f>
        <v xml:space="preserve">serpentwithfeet                                </v>
      </c>
      <c r="I14" s="3" t="s">
        <v>0</v>
      </c>
      <c r="J14" s="2" t="str">
        <f>TEXT(Sheet1!E11,"HH:MM")&amp;" "</f>
        <v xml:space="preserve">02:31 </v>
      </c>
      <c r="K14" s="3" t="s">
        <v>0</v>
      </c>
    </row>
    <row r="15" spans="1:11">
      <c r="A15" t="s">
        <v>0</v>
      </c>
      <c r="B15">
        <f>Sheet1!A12</f>
        <v>0</v>
      </c>
      <c r="C15" s="3" t="s">
        <v>0</v>
      </c>
      <c r="D15" s="4" t="str">
        <f>LEFTB(Sheet1!B12&amp;REPT(" ",$D$2),$D$2)</f>
        <v xml:space="preserve">               </v>
      </c>
      <c r="E15" s="3" t="s">
        <v>0</v>
      </c>
      <c r="F15" t="str">
        <f>" "&amp;LEFTB(Sheet1!C12&amp;REPT(" ",$F$2),$F$2)</f>
        <v xml:space="preserve">                                           </v>
      </c>
      <c r="G15" s="3" t="s">
        <v>0</v>
      </c>
      <c r="H15" t="str">
        <f>LEFTB(Sheet1!D12&amp;REPT(" ",$H$2),$H$2)</f>
        <v xml:space="preserve">                                               </v>
      </c>
      <c r="I15" s="3" t="s">
        <v>0</v>
      </c>
      <c r="J15" s="2" t="str">
        <f>TEXT(Sheet1!E12,"HH:MM")&amp;" "</f>
        <v xml:space="preserve">00:00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</v>
      </c>
      <c r="E16" s="3" t="s">
        <v>0</v>
      </c>
      <c r="F16" t="str">
        <f>" "&amp;LEFTB(Sheet1!C13&amp;REPT(" ",$F$2),$F$2)</f>
        <v xml:space="preserve">                                           </v>
      </c>
      <c r="G16" s="3" t="s">
        <v>0</v>
      </c>
      <c r="H16" t="str">
        <f>LEFTB(Sheet1!D13&amp;REPT(" ",$H$2),$H$2)</f>
        <v xml:space="preserve">                       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</v>
      </c>
      <c r="E17" s="3" t="s">
        <v>0</v>
      </c>
      <c r="F17" t="str">
        <f>" "&amp;LEFTB(Sheet1!C14&amp;REPT(" ",$F$2),$F$2)</f>
        <v xml:space="preserve">                                           </v>
      </c>
      <c r="G17" s="3" t="s">
        <v>0</v>
      </c>
      <c r="H17" t="str">
        <f>LEFTB(Sheet1!D14&amp;REPT(" ",$H$2),$H$2)</f>
        <v xml:space="preserve">             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</v>
      </c>
      <c r="E18" s="3" t="s">
        <v>0</v>
      </c>
      <c r="F18" t="str">
        <f>" "&amp;LEFTB(Sheet1!C15&amp;REPT(" ",$F$2),$F$2)</f>
        <v xml:space="preserve">                                           </v>
      </c>
      <c r="G18" s="3" t="s">
        <v>0</v>
      </c>
      <c r="H18" t="str">
        <f>LEFTB(Sheet1!D15&amp;REPT(" ",$H$2),$H$2)</f>
        <v xml:space="preserve">             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</v>
      </c>
      <c r="E19" s="3" t="s">
        <v>0</v>
      </c>
      <c r="F19" t="str">
        <f>" "&amp;LEFTB(Sheet1!C16&amp;REPT(" ",$F$2),$F$2)</f>
        <v xml:space="preserve">                                           </v>
      </c>
      <c r="G19" s="3" t="s">
        <v>0</v>
      </c>
      <c r="H19" t="str">
        <f>LEFTB(Sheet1!D16&amp;REPT(" ",$H$2),$H$2)</f>
        <v xml:space="preserve">       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</v>
      </c>
      <c r="E20" s="3" t="s">
        <v>0</v>
      </c>
      <c r="F20" t="str">
        <f>" "&amp;LEFTB(Sheet1!C17&amp;REPT(" ",$F$2),$F$2)</f>
        <v xml:space="preserve">                                           </v>
      </c>
      <c r="G20" s="3" t="s">
        <v>0</v>
      </c>
      <c r="H20" t="str">
        <f>LEFTB(Sheet1!D17&amp;REPT(" ",$H$2),$H$2)</f>
        <v xml:space="preserve">  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</v>
      </c>
      <c r="E21" s="3" t="s">
        <v>0</v>
      </c>
      <c r="F21" t="str">
        <f>" "&amp;LEFTB(Sheet1!C18&amp;REPT(" ",$F$2),$F$2)</f>
        <v xml:space="preserve">                                           </v>
      </c>
      <c r="G21" s="3" t="s">
        <v>0</v>
      </c>
      <c r="H21" t="str">
        <f>LEFTB(Sheet1!D18&amp;REPT(" ",$H$2),$H$2)</f>
        <v xml:space="preserve"> 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</v>
      </c>
      <c r="E22" s="3" t="s">
        <v>0</v>
      </c>
      <c r="F22" t="str">
        <f>" "&amp;LEFTB(Sheet1!C19&amp;REPT(" ",$F$2),$F$2)</f>
        <v xml:space="preserve">                                           </v>
      </c>
      <c r="G22" s="3" t="s">
        <v>0</v>
      </c>
      <c r="H22" t="str">
        <f>LEFTB(Sheet1!D19&amp;REPT(" ",$H$2),$H$2)</f>
        <v xml:space="preserve"> 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</v>
      </c>
      <c r="E23" s="3" t="s">
        <v>0</v>
      </c>
      <c r="F23" t="str">
        <f>" "&amp;LEFTB(Sheet1!C20&amp;REPT(" ",$F$2),$F$2)</f>
        <v xml:space="preserve">                                           </v>
      </c>
      <c r="G23" s="3" t="s">
        <v>0</v>
      </c>
      <c r="H23" t="str">
        <f>LEFTB(Sheet1!D20&amp;REPT(" ",$H$2),$H$2)</f>
        <v xml:space="preserve">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</v>
      </c>
      <c r="E24" s="3" t="s">
        <v>0</v>
      </c>
      <c r="F24" t="str">
        <f>" "&amp;LEFTB(Sheet1!C21&amp;REPT(" ",$F$2),$F$2)</f>
        <v xml:space="preserve">                                           </v>
      </c>
      <c r="G24" s="3" t="s">
        <v>0</v>
      </c>
      <c r="H24" t="str">
        <f>LEFTB(Sheet1!D21&amp;REPT(" ",$H$2),$H$2)</f>
        <v xml:space="preserve">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</v>
      </c>
      <c r="E25" s="3" t="s">
        <v>0</v>
      </c>
      <c r="F25" t="str">
        <f>" "&amp;LEFTB(Sheet1!C22&amp;REPT(" ",$F$2),$F$2)</f>
        <v xml:space="preserve">                                           </v>
      </c>
      <c r="G25" s="3" t="s">
        <v>0</v>
      </c>
      <c r="H25" t="str">
        <f>LEFTB(Sheet1!D22&amp;REPT(" ",$H$2),$H$2)</f>
        <v xml:space="preserve">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</v>
      </c>
      <c r="E26" s="3" t="s">
        <v>0</v>
      </c>
      <c r="F26" t="str">
        <f>" "&amp;LEFTB(Sheet1!C23&amp;REPT(" ",$F$2),$F$2)</f>
        <v xml:space="preserve">                                           </v>
      </c>
      <c r="G26" s="3" t="s">
        <v>0</v>
      </c>
      <c r="H26" t="str">
        <f>LEFTB(Sheet1!D23&amp;REPT(" ",$H$2),$H$2)</f>
        <v xml:space="preserve">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</v>
      </c>
      <c r="E27" s="3" t="s">
        <v>0</v>
      </c>
      <c r="F27" t="str">
        <f>" "&amp;LEFTB(Sheet1!C24&amp;REPT(" ",$F$2),$F$2)</f>
        <v xml:space="preserve">                                           </v>
      </c>
      <c r="G27" s="3" t="s">
        <v>0</v>
      </c>
      <c r="H27" t="str">
        <f>LEFTB(Sheet1!D24&amp;REPT(" ",$H$2),$H$2)</f>
        <v xml:space="preserve">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</v>
      </c>
      <c r="E28" s="3" t="s">
        <v>0</v>
      </c>
      <c r="F28" t="str">
        <f>" "&amp;LEFTB(Sheet1!C25&amp;REPT(" ",$F$2),$F$2)</f>
        <v xml:space="preserve">                                           </v>
      </c>
      <c r="G28" s="3" t="s">
        <v>0</v>
      </c>
      <c r="H28" t="str">
        <f>LEFTB(Sheet1!D25&amp;REPT(" ",$H$2),$H$2)</f>
        <v xml:space="preserve">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</v>
      </c>
      <c r="E29" s="3" t="s">
        <v>0</v>
      </c>
      <c r="F29" t="str">
        <f>" "&amp;LEFTB(Sheet1!C26&amp;REPT(" ",$F$2),$F$2)</f>
        <v xml:space="preserve">                                           </v>
      </c>
      <c r="G29" s="3" t="s">
        <v>0</v>
      </c>
      <c r="H29" t="str">
        <f>LEFTB(Sheet1!D26&amp;REPT(" ",$H$2),$H$2)</f>
        <v xml:space="preserve">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</v>
      </c>
      <c r="E30" s="3" t="s">
        <v>0</v>
      </c>
      <c r="F30" t="str">
        <f>" "&amp;LEFTB(Sheet1!C27&amp;REPT(" ",$F$2),$F$2)</f>
        <v xml:space="preserve">                                           </v>
      </c>
      <c r="G30" s="3" t="s">
        <v>0</v>
      </c>
      <c r="H30" t="str">
        <f>LEFTB(Sheet1!D27&amp;REPT(" ",$H$2),$H$2)</f>
        <v xml:space="preserve">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0278D-A4A0-44D4-BF33-AF0BAF22AFED}">
  <dimension ref="A1:E11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5.81640625" bestFit="1" customWidth="1"/>
    <col min="3" max="3" width="39.7265625" bestFit="1" customWidth="1"/>
    <col min="4" max="4" width="43.9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0.10555555555555556</v>
      </c>
    </row>
    <row r="3" spans="1:5">
      <c r="A3">
        <v>2</v>
      </c>
      <c r="B3" s="6" t="s">
        <v>11</v>
      </c>
      <c r="C3" s="6" t="s">
        <v>12</v>
      </c>
      <c r="D3" s="6" t="s">
        <v>12</v>
      </c>
      <c r="E3" s="5">
        <v>0.11527777777777778</v>
      </c>
    </row>
    <row r="4" spans="1:5">
      <c r="A4">
        <v>3</v>
      </c>
      <c r="B4" s="6" t="s">
        <v>13</v>
      </c>
      <c r="C4" s="6" t="s">
        <v>14</v>
      </c>
      <c r="D4" s="6" t="s">
        <v>12</v>
      </c>
      <c r="E4" s="5">
        <v>0.1423611111111111</v>
      </c>
    </row>
    <row r="5" spans="1:5">
      <c r="A5">
        <v>4</v>
      </c>
      <c r="B5" s="6" t="s">
        <v>15</v>
      </c>
      <c r="C5" s="6" t="s">
        <v>12</v>
      </c>
      <c r="D5" s="6" t="s">
        <v>12</v>
      </c>
      <c r="E5" s="5">
        <v>0.11527777777777778</v>
      </c>
    </row>
    <row r="6" spans="1:5">
      <c r="A6">
        <v>5</v>
      </c>
      <c r="B6" s="6" t="s">
        <v>16</v>
      </c>
      <c r="C6" s="6" t="s">
        <v>12</v>
      </c>
      <c r="D6" s="6" t="s">
        <v>12</v>
      </c>
      <c r="E6" s="5">
        <v>0.15416666666666667</v>
      </c>
    </row>
    <row r="7" spans="1:5">
      <c r="A7">
        <v>6</v>
      </c>
      <c r="B7" s="6" t="s">
        <v>17</v>
      </c>
      <c r="C7" s="6" t="s">
        <v>18</v>
      </c>
      <c r="D7" s="6" t="s">
        <v>19</v>
      </c>
      <c r="E7" s="5">
        <v>0.11666666666666667</v>
      </c>
    </row>
    <row r="8" spans="1:5">
      <c r="A8">
        <v>7</v>
      </c>
      <c r="B8" s="6" t="s">
        <v>20</v>
      </c>
      <c r="C8" s="6" t="s">
        <v>12</v>
      </c>
      <c r="D8" s="6" t="s">
        <v>12</v>
      </c>
      <c r="E8" s="5">
        <v>0.12083333333333333</v>
      </c>
    </row>
    <row r="9" spans="1:5">
      <c r="A9">
        <v>8</v>
      </c>
      <c r="B9" s="6" t="s">
        <v>21</v>
      </c>
      <c r="C9" s="6" t="s">
        <v>22</v>
      </c>
      <c r="D9" s="6" t="s">
        <v>23</v>
      </c>
      <c r="E9" s="5">
        <v>0.13958333333333334</v>
      </c>
    </row>
    <row r="10" spans="1:5">
      <c r="A10">
        <v>9</v>
      </c>
      <c r="B10" s="6" t="s">
        <v>24</v>
      </c>
      <c r="C10" s="6" t="s">
        <v>12</v>
      </c>
      <c r="D10" s="6" t="s">
        <v>12</v>
      </c>
      <c r="E10" s="5">
        <v>0.10208333333333333</v>
      </c>
    </row>
    <row r="11" spans="1:5">
      <c r="A11">
        <v>10</v>
      </c>
      <c r="B11" s="6" t="s">
        <v>25</v>
      </c>
      <c r="C11" s="6" t="s">
        <v>12</v>
      </c>
      <c r="D11" s="6" t="s">
        <v>12</v>
      </c>
      <c r="E11" s="5">
        <v>0.10486111111111111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D23A-6AA9-4C55-82F7-89C9B671BF6C}">
  <dimension ref="B2:E15"/>
  <sheetViews>
    <sheetView workbookViewId="0"/>
  </sheetViews>
  <sheetFormatPr defaultRowHeight="19.8"/>
  <cols>
    <col min="1" max="1" width="10.81640625" bestFit="1" customWidth="1"/>
    <col min="2" max="2" width="14.36328125" bestFit="1" customWidth="1"/>
    <col min="3" max="3" width="80.7265625" bestFit="1" customWidth="1"/>
    <col min="4" max="4" width="36.453125" bestFit="1" customWidth="1"/>
    <col min="5" max="5" width="7.542968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  <row r="15" spans="2:5">
      <c r="B15" s="6"/>
      <c r="C15" s="6"/>
      <c r="D15" s="6"/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B845-BA7F-409B-A442-6316F1256FE7}">
  <dimension ref="E2:E12"/>
  <sheetViews>
    <sheetView workbookViewId="0"/>
  </sheetViews>
  <sheetFormatPr defaultRowHeight="19.8"/>
  <cols>
    <col min="1" max="1" width="10.81640625" bestFit="1" customWidth="1"/>
    <col min="2" max="2" width="19.453125" bestFit="1" customWidth="1"/>
    <col min="3" max="3" width="80.7265625" bestFit="1" customWidth="1"/>
    <col min="4" max="4" width="37.726562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EA0D-F84C-4DF9-BB18-C5BB3E937DDC}">
  <dimension ref="E2:E19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9.26953125" bestFit="1" customWidth="1"/>
    <col min="3" max="3" width="80.7265625" bestFit="1" customWidth="1"/>
    <col min="4" max="4" width="34.2695312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Sheet2</vt:lpstr>
      <vt:lpstr>テーブル 5 (17)</vt:lpstr>
      <vt:lpstr>テーブル 5 (15)</vt:lpstr>
      <vt:lpstr>テーブル 5 (13)</vt:lpstr>
      <vt:lpstr>テーブル 5 (11)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2024-08-11T07:58:05Z</dcterms:modified>
</cp:coreProperties>
</file>