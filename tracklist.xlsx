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zz\Documents\gatsby_v5\"/>
    </mc:Choice>
  </mc:AlternateContent>
  <xr:revisionPtr revIDLastSave="0" documentId="13_ncr:1_{453E7145-E56E-40BB-96F6-77839C614905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Sheet1" sheetId="1" r:id="rId1"/>
    <sheet name="Sheet2" sheetId="2" r:id="rId2"/>
    <sheet name="テーブル 5 (93)" sheetId="87" r:id="rId3"/>
    <sheet name="テーブル 5 (91)" sheetId="86" r:id="rId4"/>
    <sheet name="Sheet3" sheetId="84" r:id="rId5"/>
  </sheets>
  <definedNames>
    <definedName name="ExternalData_1" localSheetId="2" hidden="1">'テーブル 5 (93)'!$A$1:$E$13</definedName>
    <definedName name="ExternalData_2" localSheetId="0" hidden="1">Sheet1!$A$1:$E$13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11" i="2" l="1"/>
  <c r="F7" i="2"/>
  <c r="F34" i="2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H14" i="2"/>
  <c r="D16" i="2"/>
  <c r="F19" i="2"/>
  <c r="H22" i="2"/>
  <c r="D24" i="2"/>
  <c r="F2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369560D6-2AB8-4192-87BF-D6A075B7A590}" keepAlive="1" name="クエリ - テーブル 5 (79)" description="ブック内の 'テーブル 5 (79)' クエリへの接続です。" type="5" refreshedVersion="8" background="1" saveData="1">
    <dbPr connection="Provider=Microsoft.Mashup.OleDb.1;Data Source=$Workbook$;Location=&quot;テーブル 5 (79)&quot;;Extended Properties=&quot;&quot;" command="SELECT * FROM [テーブル 5 (79)]"/>
  </connection>
  <connection id="156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7" xr16:uid="{1C4BC1A3-CF05-47AF-8EAB-2DC266D46C01}" keepAlive="1" name="クエリ - テーブル 5 (80)" description="ブック内の 'テーブル 5 (80)' クエリへの接続です。" type="5" refreshedVersion="8" background="1" saveData="1">
    <dbPr connection="Provider=Microsoft.Mashup.OleDb.1;Data Source=$Workbook$;Location=&quot;テーブル 5 (80)&quot;;Extended Properties=&quot;&quot;" command="SELECT * FROM [テーブル 5 (80)]"/>
  </connection>
  <connection id="158" xr16:uid="{229AD050-8164-49DA-83D4-829246EC27F1}" keepAlive="1" name="クエリ - テーブル 5 (81)" description="ブック内の 'テーブル 5 (81)' クエリへの接続です。" type="5" refreshedVersion="8" background="1" saveData="1">
    <dbPr connection="Provider=Microsoft.Mashup.OleDb.1;Data Source=$Workbook$;Location=&quot;テーブル 5 (81)&quot;;Extended Properties=&quot;&quot;" command="SELECT * FROM [テーブル 5 (81)]"/>
  </connection>
  <connection id="159" xr16:uid="{4EBAE136-702A-4021-8289-22F27A93E08F}" keepAlive="1" name="クエリ - テーブル 5 (82)" description="ブック内の 'テーブル 5 (82)' クエリへの接続です。" type="5" refreshedVersion="8" background="1" saveData="1">
    <dbPr connection="Provider=Microsoft.Mashup.OleDb.1;Data Source=$Workbook$;Location=&quot;テーブル 5 (82)&quot;;Extended Properties=&quot;&quot;" command="SELECT * FROM [テーブル 5 (82)]"/>
  </connection>
  <connection id="160" xr16:uid="{468B3505-0578-45BD-B7C5-3E3853D5808C}" keepAlive="1" name="クエリ - テーブル 5 (83)" description="ブック内の 'テーブル 5 (83)' クエリへの接続です。" type="5" refreshedVersion="8" background="1" saveData="1">
    <dbPr connection="Provider=Microsoft.Mashup.OleDb.1;Data Source=$Workbook$;Location=&quot;テーブル 5 (83)&quot;;Extended Properties=&quot;&quot;" command="SELECT * FROM [テーブル 5 (83)]"/>
  </connection>
  <connection id="161" xr16:uid="{A5011E8F-F905-4256-8294-33889EB58357}" keepAlive="1" name="クエリ - テーブル 5 (84)" description="ブック内の 'テーブル 5 (84)' クエリへの接続です。" type="5" refreshedVersion="8" background="1" saveData="1">
    <dbPr connection="Provider=Microsoft.Mashup.OleDb.1;Data Source=$Workbook$;Location=&quot;テーブル 5 (84)&quot;;Extended Properties=&quot;&quot;" command="SELECT * FROM [テーブル 5 (84)]"/>
  </connection>
  <connection id="162" xr16:uid="{CAB5ECC6-950E-4478-88D6-1C9026B8B5F1}" keepAlive="1" name="クエリ - テーブル 5 (85)" description="ブック内の 'テーブル 5 (85)' クエリへの接続です。" type="5" refreshedVersion="8" background="1" saveData="1">
    <dbPr connection="Provider=Microsoft.Mashup.OleDb.1;Data Source=$Workbook$;Location=&quot;テーブル 5 (85)&quot;;Extended Properties=&quot;&quot;" command="SELECT * FROM [テーブル 5 (85)]"/>
  </connection>
  <connection id="163" xr16:uid="{79753507-8B86-48CF-A39B-BC8907DC6177}" keepAlive="1" name="クエリ - テーブル 5 (86)" description="ブック内の 'テーブル 5 (86)' クエリへの接続です。" type="5" refreshedVersion="8" background="1" saveData="1">
    <dbPr connection="Provider=Microsoft.Mashup.OleDb.1;Data Source=$Workbook$;Location=&quot;テーブル 5 (86)&quot;;Extended Properties=&quot;&quot;" command="SELECT * FROM [テーブル 5 (86)]"/>
  </connection>
  <connection id="164" xr16:uid="{51E24E1F-2DA9-4D17-ABA5-F450AFDAA74B}" keepAlive="1" name="クエリ - テーブル 5 (87)" description="ブック内の 'テーブル 5 (87)' クエリへの接続です。" type="5" refreshedVersion="8" background="1" saveData="1">
    <dbPr connection="Provider=Microsoft.Mashup.OleDb.1;Data Source=$Workbook$;Location=&quot;テーブル 5 (87)&quot;;Extended Properties=&quot;&quot;" command="SELECT * FROM [テーブル 5 (87)]"/>
  </connection>
  <connection id="165" xr16:uid="{DB4C105A-63FF-4F8B-9BC2-F5FFCCD8F744}" keepAlive="1" name="クエリ - テーブル 5 (88)" description="ブック内の 'テーブル 5 (88)' クエリへの接続です。" type="5" refreshedVersion="8" background="1" saveData="1">
    <dbPr connection="Provider=Microsoft.Mashup.OleDb.1;Data Source=$Workbook$;Location=&quot;テーブル 5 (88)&quot;;Extended Properties=&quot;&quot;" command="SELECT * FROM [テーブル 5 (88)]"/>
  </connection>
  <connection id="166" xr16:uid="{79FEB04E-2966-400E-90C2-BE7F46D96586}" keepAlive="1" name="クエリ - テーブル 5 (89)" description="ブック内の 'テーブル 5 (89)' クエリへの接続です。" type="5" refreshedVersion="8" background="1" saveData="1">
    <dbPr connection="Provider=Microsoft.Mashup.OleDb.1;Data Source=$Workbook$;Location=&quot;テーブル 5 (89)&quot;;Extended Properties=&quot;&quot;" command="SELECT * FROM [テーブル 5 (89)]"/>
  </connection>
  <connection id="167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  <connection id="168" xr16:uid="{216E639C-9CA3-488A-9BAF-6E925A7E351F}" keepAlive="1" name="クエリ - テーブル 5 (90)" description="ブック内の 'テーブル 5 (90)' クエリへの接続です。" type="5" refreshedVersion="8" background="1" saveData="1">
    <dbPr connection="Provider=Microsoft.Mashup.OleDb.1;Data Source=$Workbook$;Location=&quot;テーブル 5 (90)&quot;;Extended Properties=&quot;&quot;" command="SELECT * FROM [テーブル 5 (90)]"/>
  </connection>
  <connection id="169" xr16:uid="{E6A35D59-60B3-49B3-AF49-E8EFFE8D94A0}" keepAlive="1" name="クエリ - テーブル 5 (91)" description="ブック内の 'テーブル 5 (91)' クエリへの接続です。" type="5" refreshedVersion="8" background="1" saveData="1">
    <dbPr connection="Provider=Microsoft.Mashup.OleDb.1;Data Source=$Workbook$;Location=&quot;テーブル 5 (91)&quot;;Extended Properties=&quot;&quot;" command="SELECT * FROM [テーブル 5 (91)]"/>
  </connection>
  <connection id="170" xr16:uid="{DA741BCF-1715-4E66-A6CD-B5110C003A17}" keepAlive="1" name="クエリ - テーブル 5 (92)" description="ブック内の 'テーブル 5 (92)' クエリへの接続です。" type="5" refreshedVersion="8" background="1" saveData="1">
    <dbPr connection="Provider=Microsoft.Mashup.OleDb.1;Data Source=$Workbook$;Location=&quot;テーブル 5 (92)&quot;;Extended Properties=&quot;&quot;" command="SELECT * FROM [テーブル 5 (92)]"/>
  </connection>
  <connection id="171" xr16:uid="{1595ADED-D601-400E-AE27-DF14B3A0AD6B}" keepAlive="1" name="クエリ - テーブル 5 (93)" description="ブック内の 'テーブル 5 (93)' クエリへの接続です。" type="5" refreshedVersion="8" background="1" saveData="1">
    <dbPr connection="Provider=Microsoft.Mashup.OleDb.1;Data Source=$Workbook$;Location=&quot;テーブル 5 (93)&quot;;Extended Properties=&quot;&quot;" command="SELECT * FROM [テーブル 5 (93)]"/>
  </connection>
  <connection id="172" xr16:uid="{B0B14C33-D428-4945-86E0-E4D241E392D9}" keepAlive="1" name="クエリ - テーブル 5 (94)" description="ブック内の 'テーブル 5 (94)' クエリへの接続です。" type="5" refreshedVersion="8" background="1" saveData="1">
    <dbPr connection="Provider=Microsoft.Mashup.OleDb.1;Data Source=$Workbook$;Location=&quot;テーブル 5 (94)&quot;;Extended Properties=&quot;&quot;" command="SELECT * FROM [テーブル 5 (94)]"/>
  </connection>
</connections>
</file>

<file path=xl/sharedStrings.xml><?xml version="1.0" encoding="utf-8"?>
<sst xmlns="http://schemas.openxmlformats.org/spreadsheetml/2006/main" count="276" uniqueCount="37">
  <si>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</si>
  <si>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</si>
  <si>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</si>
  <si>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</si>
  <si>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</si>
  <si>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</si>
  <si>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</si>
  <si>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</si>
  <si>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Midnight</t>
  </si>
  <si>
    <t>Bastian Langeb?k / Jordan Thomas / Kiah Victoria / Andrew Wansel / Jessie
                  Ware</t>
  </si>
  <si>
    <t>Jessie Ware</t>
  </si>
  <si>
    <t>Thinking About You</t>
  </si>
  <si>
    <t>Thomas Hull / Jessie Ware</t>
  </si>
  <si>
    <t>Stay Awake, Wait for Me</t>
  </si>
  <si>
    <t>Ajay Bhattacharyya / Danny Parker / Jessie Ware</t>
  </si>
  <si>
    <t>Your Domino</t>
  </si>
  <si>
    <t>Ajay Bhattacharyya / Danny Parker / Daniel Schnair / Jessie Ware</t>
  </si>
  <si>
    <t>Alone</t>
  </si>
  <si>
    <t>Sarah Aarons / Thomas Hull / Jessie Ware</t>
  </si>
  <si>
    <t>Selfish Love</t>
  </si>
  <si>
    <t>Ross Golan / Magnus August H?iberg / Benjamin Levin / Ammar Malik / Nathan
                  Perez / Ryan Tedder / Jessie Ware</t>
  </si>
  <si>
    <t>First Time</t>
  </si>
  <si>
    <t>Fin Dow-Smith / James Newman / Jessie Ware</t>
  </si>
  <si>
    <t>Hearts</t>
  </si>
  <si>
    <t>Benjamin Ash / Benjamin Levin / Julia Michaels / Jessie Ware</t>
  </si>
  <si>
    <t>Slow Me Down</t>
  </si>
  <si>
    <t>Frederik Ball / Nina Nesbitt / Sam Preston / Jessie Ware</t>
  </si>
  <si>
    <t>Finish What We Started</t>
  </si>
  <si>
    <t>Julian Bunetta / John Ryan / Jamie Scott / Jessie Ware</t>
  </si>
  <si>
    <t>Last of the True Believers</t>
  </si>
  <si>
    <t>Paul Buchanan / Liam Howe / Jessie Ware / Felix White / Hugo White</t>
  </si>
  <si>
    <t>Jessie Ware ft. Paul Buchanan</t>
  </si>
  <si>
    <t>Sam</t>
  </si>
  <si>
    <t>Dave Christopher / Benjamin Levin / Dave Okumu / Pino Palladino / Nico
                  Segal / Ed Sheeran / Francis Farewell Starlite / Jessie Ware</t>
  </si>
  <si>
    <t>Bastian Langeb?k / Jordan Thomas / Kiah Victoria / Andrew Wansel / Jessie                  Ware</t>
    <phoneticPr fontId="1"/>
  </si>
  <si>
    <t>Ross Golan / Magnus August H?iberg / Benjamin Levin / Ammar Malik / Nathan                  Perez / Ryan Tedder / Jessie Ware</t>
    <phoneticPr fontId="1"/>
  </si>
  <si>
    <t>Dave Christopher / Benjamin Levin / Dave Okumu / Pino Palladino / Nico                  Segal / Ed Sheeran / Francis Farewell Starlite / Jessie Ware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</si>
</sst>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2" xr16:uid="{D8FF0020-E641-4CF1-A0C4-8FAE55661FD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1" xr16:uid="{DA37A2ED-2C48-450E-948E-6B76EF83351F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68AC4E-1830-4A6F-B74E-BF366611F314}" name="テーブル_5__933" displayName="テーブル_5__933" ref="A1:E13" tableType="queryTable" totalsRowShown="0">
  <autoFilter ref="A1:E13" xr:uid="{F768AC4E-1830-4A6F-B74E-BF366611F314}"/>
  <tableColumns count="5">
    <tableColumn id="1" xr3:uid="{CA971ABE-0C4A-419E-8A7B-F0C146886014}" uniqueName="1" name="Column1" queryTableFieldId="1"/>
    <tableColumn id="2" xr3:uid="{B2DBC6B9-4E9B-4290-8E7B-35A129723843}" uniqueName="2" name="Title" queryTableFieldId="2" dataDxfId="3"/>
    <tableColumn id="3" xr3:uid="{11827AB5-0E7E-4F59-97EA-FE91DAA97DE6}" uniqueName="3" name="Composer" queryTableFieldId="3" dataDxfId="2"/>
    <tableColumn id="4" xr3:uid="{77D02945-590C-4E87-BA98-B7D91497454D}" uniqueName="4" name="Performer" queryTableFieldId="4" dataDxfId="1"/>
    <tableColumn id="5" xr3:uid="{1FDF2824-7646-4FB0-A268-9ABCF5139D4D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F7C1CE-175D-4F27-9BAE-24347DD7F7A2}" name="テーブル_5__93" displayName="テーブル_5__93" ref="A1:E13" tableType="queryTable" totalsRowShown="0">
  <autoFilter ref="A1:E13" xr:uid="{54F7C1CE-175D-4F27-9BAE-24347DD7F7A2}"/>
  <tableColumns count="5">
    <tableColumn id="1" xr3:uid="{15C2C5B9-F897-4248-8E72-4F3E2B383D58}" uniqueName="1" name="Column1" queryTableFieldId="1"/>
    <tableColumn id="2" xr3:uid="{2FE846E0-9323-4024-8299-5804BE032BFD}" uniqueName="2" name="Title" queryTableFieldId="2" dataDxfId="7"/>
    <tableColumn id="3" xr3:uid="{F50C3D73-10F1-4C57-AF13-A4FB094DCDC5}" uniqueName="3" name="Composer" queryTableFieldId="3" dataDxfId="6"/>
    <tableColumn id="4" xr3:uid="{7B1D97FD-5A1C-4B60-8276-9963FCAA537D}" uniqueName="4" name="Performer" queryTableFieldId="4" dataDxfId="5"/>
    <tableColumn id="5" xr3:uid="{8BE74FAC-C198-4878-93D5-F42DE344DCD2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C14" sqref="C14"/>
    </sheetView>
  </sheetViews>
  <sheetFormatPr defaultRowHeight="19.3"/>
  <cols>
    <col min="1" max="1" width="10.375" bestFit="1" customWidth="1"/>
    <col min="2" max="2" width="22.6875" bestFit="1" customWidth="1"/>
    <col min="3" max="3" width="80.5" bestFit="1" customWidth="1"/>
    <col min="4" max="4" width="26.375" bestFit="1" customWidth="1"/>
    <col min="5" max="5" width="7.062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34</v>
      </c>
      <c r="D2" s="6" t="s">
        <v>10</v>
      </c>
      <c r="E2" s="5">
        <v>0.16458333333333333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0.1451388888888889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0.15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0.15763888888888888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0.15069444444444444</v>
      </c>
    </row>
    <row r="7" spans="1:5">
      <c r="A7">
        <v>6</v>
      </c>
      <c r="B7" s="6" t="s">
        <v>19</v>
      </c>
      <c r="C7" s="6" t="s">
        <v>35</v>
      </c>
      <c r="D7" s="6" t="s">
        <v>10</v>
      </c>
      <c r="E7" s="5">
        <v>0.16527777777777777</v>
      </c>
    </row>
    <row r="8" spans="1:5">
      <c r="A8">
        <v>7</v>
      </c>
      <c r="B8" s="6" t="s">
        <v>21</v>
      </c>
      <c r="C8" s="6" t="s">
        <v>22</v>
      </c>
      <c r="D8" s="6" t="s">
        <v>10</v>
      </c>
      <c r="E8" s="5">
        <v>0.17083333333333334</v>
      </c>
    </row>
    <row r="9" spans="1:5">
      <c r="A9">
        <v>8</v>
      </c>
      <c r="B9" s="6" t="s">
        <v>23</v>
      </c>
      <c r="C9" s="6" t="s">
        <v>24</v>
      </c>
      <c r="D9" s="6" t="s">
        <v>10</v>
      </c>
      <c r="E9" s="5">
        <v>0.14861111111111111</v>
      </c>
    </row>
    <row r="10" spans="1:5">
      <c r="A10">
        <v>9</v>
      </c>
      <c r="B10" s="6" t="s">
        <v>25</v>
      </c>
      <c r="C10" s="6" t="s">
        <v>26</v>
      </c>
      <c r="D10" s="6" t="s">
        <v>10</v>
      </c>
      <c r="E10" s="5">
        <v>0.14166666666666666</v>
      </c>
    </row>
    <row r="11" spans="1:5">
      <c r="A11">
        <v>10</v>
      </c>
      <c r="B11" s="6" t="s">
        <v>27</v>
      </c>
      <c r="C11" s="6" t="s">
        <v>28</v>
      </c>
      <c r="D11" s="6" t="s">
        <v>10</v>
      </c>
      <c r="E11" s="5">
        <v>0.15902777777777777</v>
      </c>
    </row>
    <row r="12" spans="1:5">
      <c r="A12">
        <v>11</v>
      </c>
      <c r="B12" s="6" t="s">
        <v>29</v>
      </c>
      <c r="C12" s="6" t="s">
        <v>30</v>
      </c>
      <c r="D12" s="6" t="s">
        <v>31</v>
      </c>
      <c r="E12" s="5">
        <v>0.16180555555555556</v>
      </c>
    </row>
    <row r="13" spans="1:5">
      <c r="A13">
        <v>12</v>
      </c>
      <c r="B13" s="6" t="s">
        <v>32</v>
      </c>
      <c r="C13" s="6" t="s">
        <v>36</v>
      </c>
      <c r="D13" s="6" t="s">
        <v>10</v>
      </c>
      <c r="E13" s="5">
        <v>0.21944444444444444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topLeftCell="A3" workbookViewId="0">
      <selection activeCell="K16" sqref="A3:K16"/>
    </sheetView>
  </sheetViews>
  <sheetFormatPr defaultColWidth="11.5625" defaultRowHeight="19.3"/>
  <cols>
    <col min="1" max="1" width="4.25" customWidth="1"/>
    <col min="3" max="3" width="3.875" style="3" customWidth="1"/>
    <col min="4" max="4" width="21.125" customWidth="1"/>
    <col min="5" max="5" width="4" style="3" customWidth="1"/>
    <col min="6" max="6" width="119.25" bestFit="1" customWidth="1"/>
    <col min="7" max="7" width="4.4375" style="3" customWidth="1"/>
    <col min="8" max="8" width="21.75" customWidth="1"/>
    <col min="9" max="9" width="4.3125" style="3" customWidth="1"/>
    <col min="10" max="10" width="8.4375" customWidth="1"/>
    <col min="11" max="11" width="3.4375" style="3" customWidth="1"/>
  </cols>
  <sheetData>
    <row r="2" spans="1:11">
      <c r="D2" s="1">
        <f t="array" ref="D2">MAX(LENB(Sheet1!B1:'Sheet1'!B30))</f>
        <v>26</v>
      </c>
      <c r="F2" s="1">
        <f t="array" ref="F2">MAX(LENB(Sheet1!C1:'Sheet1'!C30))</f>
        <v>148</v>
      </c>
      <c r="H2" s="1">
        <f t="array" ref="H2">MAX(LENB(Sheet1!D1:'Sheet1'!D30))</f>
        <v>29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Midnight                  </v>
      </c>
      <c r="E5" s="3" t="s">
        <v>0</v>
      </c>
      <c r="F5" t="str">
        <f>" "&amp;LEFTB(Sheet1!C2&amp;REPT(" ",$F$2),$F$2)</f>
        <v xml:space="preserve"> Bastian Langeb?k / Jordan Thomas / Kiah Victoria / Andrew Wansel / Jessie                  Ware                                                     </v>
      </c>
      <c r="G5" s="3" t="s">
        <v>0</v>
      </c>
      <c r="H5" t="str">
        <f>LEFTB(Sheet1!D2&amp;REPT(" ",$H$2),$H$2)</f>
        <v xml:space="preserve">Jessie Ware                  </v>
      </c>
      <c r="I5" s="3" t="s">
        <v>0</v>
      </c>
      <c r="J5" s="2" t="str">
        <f>TEXT(Sheet1!E2,"HH:MM")&amp;" "</f>
        <v xml:space="preserve">03:57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Thinking About You        </v>
      </c>
      <c r="E6" s="3" t="s">
        <v>0</v>
      </c>
      <c r="F6" t="str">
        <f>" "&amp;LEFTB(Sheet1!C3&amp;REPT(" ",$F$2),$F$2)</f>
        <v xml:space="preserve"> Thomas Hull / Jessie Ware          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Jessie Ware                  </v>
      </c>
      <c r="I6" s="3" t="s">
        <v>0</v>
      </c>
      <c r="J6" s="2" t="str">
        <f>TEXT(Sheet1!E3,"HH:MM")&amp;" "</f>
        <v xml:space="preserve">03:29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Stay Awake, Wait for Me   </v>
      </c>
      <c r="E7" s="3" t="s">
        <v>0</v>
      </c>
      <c r="F7" t="str">
        <f>" "&amp;LEFTB(Sheet1!C4&amp;REPT(" ",$F$2),$F$2)</f>
        <v xml:space="preserve"> Ajay Bhattacharyya / Danny Parker / Jessie Ware                                                                                                     </v>
      </c>
      <c r="G7" s="3" t="s">
        <v>0</v>
      </c>
      <c r="H7" t="str">
        <f>LEFTB(Sheet1!D4&amp;REPT(" ",$H$2),$H$2)</f>
        <v xml:space="preserve">Jessie Ware                  </v>
      </c>
      <c r="I7" s="3" t="s">
        <v>0</v>
      </c>
      <c r="J7" s="2" t="str">
        <f>TEXT(Sheet1!E4,"HH:MM")&amp;" "</f>
        <v xml:space="preserve">03:36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Your Domino               </v>
      </c>
      <c r="E8" s="3" t="s">
        <v>0</v>
      </c>
      <c r="F8" t="str">
        <f>" "&amp;LEFTB(Sheet1!C5&amp;REPT(" ",$F$2),$F$2)</f>
        <v xml:space="preserve"> Ajay Bhattacharyya / Danny Parker / Daniel Schnair / Jessie Ware                                                                                    </v>
      </c>
      <c r="G8" s="3" t="s">
        <v>0</v>
      </c>
      <c r="H8" t="str">
        <f>LEFTB(Sheet1!D5&amp;REPT(" ",$H$2),$H$2)</f>
        <v xml:space="preserve">Jessie Ware                  </v>
      </c>
      <c r="I8" s="3" t="s">
        <v>0</v>
      </c>
      <c r="J8" s="2" t="str">
        <f>TEXT(Sheet1!E5,"HH:MM")&amp;" "</f>
        <v xml:space="preserve">03:47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Alone                     </v>
      </c>
      <c r="E9" s="3" t="s">
        <v>0</v>
      </c>
      <c r="F9" t="str">
        <f>" "&amp;LEFTB(Sheet1!C6&amp;REPT(" ",$F$2),$F$2)</f>
        <v xml:space="preserve"> Sarah Aarons / Thomas Hull / Jessie Ware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Jessie Ware                  </v>
      </c>
      <c r="I9" s="3" t="s">
        <v>0</v>
      </c>
      <c r="J9" s="2" t="str">
        <f>TEXT(Sheet1!E6,"HH:MM")&amp;" "</f>
        <v xml:space="preserve">03:37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Selfish Love              </v>
      </c>
      <c r="E10" s="3" t="s">
        <v>0</v>
      </c>
      <c r="F10" t="str">
        <f>" "&amp;LEFTB(Sheet1!C7&amp;REPT(" ",$F$2),$F$2)</f>
        <v xml:space="preserve"> Ross Golan / Magnus August H?iberg / Benjamin Levin / Ammar Malik / Nathan                  Perez / Ryan Tedder / Jessie Ware                       </v>
      </c>
      <c r="G10" s="3" t="s">
        <v>0</v>
      </c>
      <c r="H10" t="str">
        <f>LEFTB(Sheet1!D7&amp;REPT(" ",$H$2),$H$2)</f>
        <v xml:space="preserve">Jessie Ware                  </v>
      </c>
      <c r="I10" s="3" t="s">
        <v>0</v>
      </c>
      <c r="J10" s="2" t="str">
        <f>TEXT(Sheet1!E7,"HH:MM")&amp;" "</f>
        <v xml:space="preserve">03:58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First Time                </v>
      </c>
      <c r="E11" s="3" t="s">
        <v>0</v>
      </c>
      <c r="F11" t="str">
        <f>" "&amp;LEFTB(Sheet1!C8&amp;REPT(" ",$F$2),$F$2)</f>
        <v xml:space="preserve"> Fin Dow-Smith / James Newman / Jessie Ware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Jessie Ware                  </v>
      </c>
      <c r="I11" s="3" t="s">
        <v>0</v>
      </c>
      <c r="J11" s="2" t="str">
        <f>TEXT(Sheet1!E8,"HH:MM")&amp;" "</f>
        <v xml:space="preserve">04:06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Hearts                    </v>
      </c>
      <c r="E12" s="3" t="s">
        <v>0</v>
      </c>
      <c r="F12" t="str">
        <f>" "&amp;LEFTB(Sheet1!C9&amp;REPT(" ",$F$2),$F$2)</f>
        <v xml:space="preserve"> Benjamin Ash / Benjamin Levin / Julia Michaels / Jessie Ware                                                                                        </v>
      </c>
      <c r="G12" s="3" t="s">
        <v>0</v>
      </c>
      <c r="H12" t="str">
        <f>LEFTB(Sheet1!D9&amp;REPT(" ",$H$2),$H$2)</f>
        <v xml:space="preserve">Jessie Ware                  </v>
      </c>
      <c r="I12" s="3" t="s">
        <v>0</v>
      </c>
      <c r="J12" s="2" t="str">
        <f>TEXT(Sheet1!E9,"HH:MM")&amp;" "</f>
        <v xml:space="preserve">03:34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Slow Me Down              </v>
      </c>
      <c r="E13" s="3" t="s">
        <v>0</v>
      </c>
      <c r="F13" t="str">
        <f>" "&amp;LEFTB(Sheet1!C10&amp;REPT(" ",$F$2),$F$2)</f>
        <v xml:space="preserve"> Frederik Ball / Nina Nesbitt / Sam Preston / Jessie Ware                                                                                            </v>
      </c>
      <c r="G13" s="3" t="s">
        <v>0</v>
      </c>
      <c r="H13" t="str">
        <f>LEFTB(Sheet1!D10&amp;REPT(" ",$H$2),$H$2)</f>
        <v xml:space="preserve">Jessie Ware                  </v>
      </c>
      <c r="I13" s="3" t="s">
        <v>0</v>
      </c>
      <c r="J13" s="2" t="str">
        <f>TEXT(Sheet1!E10,"HH:MM")&amp;" "</f>
        <v xml:space="preserve">03:24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Finish What We Started    </v>
      </c>
      <c r="E14" s="3" t="s">
        <v>0</v>
      </c>
      <c r="F14" t="str">
        <f>" "&amp;LEFTB(Sheet1!C11&amp;REPT(" ",$F$2),$F$2)</f>
        <v xml:space="preserve"> Julian Bunetta / John Ryan / Jamie Scott / Jessie Ware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Jessie Ware                  </v>
      </c>
      <c r="I14" s="3" t="s">
        <v>0</v>
      </c>
      <c r="J14" s="2" t="str">
        <f>TEXT(Sheet1!E11,"HH:MM")&amp;" "</f>
        <v xml:space="preserve">03:49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>Last of the True Believers</v>
      </c>
      <c r="E15" s="3" t="s">
        <v>0</v>
      </c>
      <c r="F15" t="str">
        <f>" "&amp;LEFTB(Sheet1!C12&amp;REPT(" ",$F$2),$F$2)</f>
        <v xml:space="preserve"> Paul Buchanan / Liam Howe / Jessie Ware / Felix White / Hugo White                                                                                  </v>
      </c>
      <c r="G15" s="3" t="s">
        <v>0</v>
      </c>
      <c r="H15" t="str">
        <f>LEFTB(Sheet1!D12&amp;REPT(" ",$H$2),$H$2)</f>
        <v>Jessie Ware ft. Paul Buchanan</v>
      </c>
      <c r="I15" s="3" t="s">
        <v>0</v>
      </c>
      <c r="J15" s="2" t="str">
        <f>TEXT(Sheet1!E12,"HH:MM")&amp;" "</f>
        <v xml:space="preserve">03:53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Sam                       </v>
      </c>
      <c r="E16" s="3" t="s">
        <v>0</v>
      </c>
      <c r="F16" t="str">
        <f>" "&amp;LEFTB(Sheet1!C13&amp;REPT(" ",$F$2),$F$2)</f>
        <v xml:space="preserve"> Dave Christopher / Benjamin Levin / Dave Okumu / Pino Palladino / Nico                  Segal / Ed Sheeran / Francis Farewell Starlite / Jessie Ware</v>
      </c>
      <c r="G16" s="3" t="s">
        <v>0</v>
      </c>
      <c r="H16" t="str">
        <f>LEFTB(Sheet1!D13&amp;REPT(" ",$H$2),$H$2)</f>
        <v xml:space="preserve">Jessie Ware                  </v>
      </c>
      <c r="I16" s="3" t="s">
        <v>0</v>
      </c>
      <c r="J16" s="2" t="str">
        <f>TEXT(Sheet1!E13,"HH:MM")&amp;" "</f>
        <v xml:space="preserve">05:16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         </v>
      </c>
      <c r="E17" s="3" t="s">
        <v>0</v>
      </c>
      <c r="F17" t="str">
        <f>" "&amp;LEFTB(Sheet1!C14&amp;REPT(" ",$F$2),$F$2)</f>
        <v xml:space="preserve">            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         </v>
      </c>
      <c r="E18" s="3" t="s">
        <v>0</v>
      </c>
      <c r="F18" t="str">
        <f>" "&amp;LEFTB(Sheet1!C15&amp;REPT(" ",$F$2),$F$2)</f>
        <v xml:space="preserve">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           </v>
      </c>
      <c r="E31" s="3" t="s">
        <v>0</v>
      </c>
      <c r="F31" t="str">
        <f>" "&amp;LEFTB(Sheet1!C28&amp;REPT(" ",$F$2),$F$2)</f>
        <v xml:space="preserve">                                                                                                                                                     </v>
      </c>
      <c r="G31" s="3" t="s">
        <v>0</v>
      </c>
      <c r="H31" t="str">
        <f>LEFTB(Sheet1!D28&amp;REPT(" ",$H$2),$H$2)</f>
        <v xml:space="preserve">                    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           </v>
      </c>
      <c r="E32" s="3" t="s">
        <v>0</v>
      </c>
      <c r="F32" t="str">
        <f>" "&amp;LEFTB(Sheet1!C29&amp;REPT(" ",$F$2),$F$2)</f>
        <v xml:space="preserve">                                                                                                                                                     </v>
      </c>
      <c r="G32" s="3" t="s">
        <v>0</v>
      </c>
      <c r="H32" t="str">
        <f>LEFTB(Sheet1!D29&amp;REPT(" ",$H$2),$H$2)</f>
        <v xml:space="preserve">                    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           </v>
      </c>
      <c r="E33" s="3" t="s">
        <v>0</v>
      </c>
      <c r="F33" t="str">
        <f>" "&amp;LEFTB(Sheet1!C30&amp;REPT(" ",$F$2),$F$2)</f>
        <v xml:space="preserve">                                                                                                                                                     </v>
      </c>
      <c r="G33" s="3" t="s">
        <v>0</v>
      </c>
      <c r="H33" t="str">
        <f>LEFTB(Sheet1!D30&amp;REPT(" ",$H$2),$H$2)</f>
        <v xml:space="preserve">                    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           </v>
      </c>
      <c r="E34" s="3" t="s">
        <v>0</v>
      </c>
      <c r="F34" t="str">
        <f>" "&amp;LEFTB(Sheet1!C31&amp;REPT(" ",$F$2),$F$2)</f>
        <v xml:space="preserve">                                                                                                                                                     </v>
      </c>
      <c r="G34" s="3" t="s">
        <v>0</v>
      </c>
      <c r="H34" t="str">
        <f>LEFTB(Sheet1!D31&amp;REPT(" ",$H$2),$H$2)</f>
        <v xml:space="preserve">                    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782A7-E845-441D-90DC-630EE8531BBB}">
  <dimension ref="A1:E13"/>
  <sheetViews>
    <sheetView workbookViewId="0">
      <selection sqref="A1:XFD1048576"/>
    </sheetView>
  </sheetViews>
  <sheetFormatPr defaultRowHeight="19.3"/>
  <cols>
    <col min="1" max="1" width="10.375" bestFit="1" customWidth="1"/>
    <col min="2" max="2" width="22.6875" bestFit="1" customWidth="1"/>
    <col min="3" max="3" width="80.5" bestFit="1" customWidth="1"/>
    <col min="4" max="4" width="26.375" bestFit="1" customWidth="1"/>
    <col min="5" max="5" width="7.062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0.16458333333333333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0.1451388888888889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0.15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0.15763888888888888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0.15069444444444444</v>
      </c>
    </row>
    <row r="7" spans="1:5">
      <c r="A7">
        <v>6</v>
      </c>
      <c r="B7" s="6" t="s">
        <v>19</v>
      </c>
      <c r="C7" s="6" t="s">
        <v>20</v>
      </c>
      <c r="D7" s="6" t="s">
        <v>10</v>
      </c>
      <c r="E7" s="5">
        <v>0.16527777777777777</v>
      </c>
    </row>
    <row r="8" spans="1:5">
      <c r="A8">
        <v>7</v>
      </c>
      <c r="B8" s="6" t="s">
        <v>21</v>
      </c>
      <c r="C8" s="6" t="s">
        <v>22</v>
      </c>
      <c r="D8" s="6" t="s">
        <v>10</v>
      </c>
      <c r="E8" s="5">
        <v>0.17083333333333334</v>
      </c>
    </row>
    <row r="9" spans="1:5">
      <c r="A9">
        <v>8</v>
      </c>
      <c r="B9" s="6" t="s">
        <v>23</v>
      </c>
      <c r="C9" s="6" t="s">
        <v>24</v>
      </c>
      <c r="D9" s="6" t="s">
        <v>10</v>
      </c>
      <c r="E9" s="5">
        <v>0.14861111111111111</v>
      </c>
    </row>
    <row r="10" spans="1:5">
      <c r="A10">
        <v>9</v>
      </c>
      <c r="B10" s="6" t="s">
        <v>25</v>
      </c>
      <c r="C10" s="6" t="s">
        <v>26</v>
      </c>
      <c r="D10" s="6" t="s">
        <v>10</v>
      </c>
      <c r="E10" s="5">
        <v>0.14166666666666666</v>
      </c>
    </row>
    <row r="11" spans="1:5">
      <c r="A11">
        <v>10</v>
      </c>
      <c r="B11" s="6" t="s">
        <v>27</v>
      </c>
      <c r="C11" s="6" t="s">
        <v>28</v>
      </c>
      <c r="D11" s="6" t="s">
        <v>10</v>
      </c>
      <c r="E11" s="5">
        <v>0.15902777777777777</v>
      </c>
    </row>
    <row r="12" spans="1:5">
      <c r="A12">
        <v>11</v>
      </c>
      <c r="B12" s="6" t="s">
        <v>29</v>
      </c>
      <c r="C12" s="6" t="s">
        <v>30</v>
      </c>
      <c r="D12" s="6" t="s">
        <v>31</v>
      </c>
      <c r="E12" s="5">
        <v>0.16180555555555556</v>
      </c>
    </row>
    <row r="13" spans="1:5">
      <c r="A13">
        <v>12</v>
      </c>
      <c r="B13" s="6" t="s">
        <v>32</v>
      </c>
      <c r="C13" s="6" t="s">
        <v>33</v>
      </c>
      <c r="D13" s="6" t="s">
        <v>10</v>
      </c>
      <c r="E13" s="5">
        <v>0.21944444444444444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2A283-62B8-4E38-BA0A-C0053E2ABBEE}">
  <dimension ref="E2:E15"/>
  <sheetViews>
    <sheetView workbookViewId="0"/>
  </sheetViews>
  <sheetFormatPr defaultRowHeight="19.3"/>
  <cols>
    <col min="1" max="1" width="11" bestFit="1" customWidth="1"/>
    <col min="2" max="2" width="22.6875" bestFit="1" customWidth="1"/>
    <col min="3" max="3" width="58.6875" bestFit="1" customWidth="1"/>
    <col min="4" max="4" width="47.6875" bestFit="1" customWidth="1"/>
    <col min="5" max="5" width="7.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5770-8EFB-4435-AF37-0E4A6E2C9DAD}">
  <dimension ref="A1"/>
  <sheetViews>
    <sheetView workbookViewId="0"/>
  </sheetViews>
  <sheetFormatPr defaultRowHeight="19.3"/>
  <sheetData/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(93)</vt:lpstr>
      <vt:lpstr>テーブル 5 (91)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2026-03-20T11:05:38Z</dcterms:modified>
</cp:coreProperties>
</file>