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gatsby_v5\"/>
    </mc:Choice>
  </mc:AlternateContent>
  <xr:revisionPtr revIDLastSave="0" documentId="13_ncr:1_{03D45CC4-F4B6-445B-93D8-A0FF26C3E06B}" xr6:coauthVersionLast="47" xr6:coauthVersionMax="47" xr10:uidLastSave="{00000000-0000-0000-0000-000000000000}"/>
  <bookViews>
    <workbookView xWindow="915" yWindow="1170" windowWidth="23895" windowHeight="14310" activeTab="1" xr2:uid="{00000000-000D-0000-FFFF-FFFF00000000}"/>
  </bookViews>
  <sheets>
    <sheet name="Sheet1" sheetId="1" r:id="rId1"/>
    <sheet name="Sheet2" sheetId="2" r:id="rId2"/>
    <sheet name="テーブル 5 (57)" sheetId="68" r:id="rId3"/>
    <sheet name="テーブル 5 (55)" sheetId="67" r:id="rId4"/>
  </sheets>
  <definedNames>
    <definedName name="ExternalData_1" localSheetId="2" hidden="1">'テーブル 5 (57)'!$A$1:$E$15</definedName>
    <definedName name="ExternalData_2" localSheetId="0" hidden="1">Sheet1!$A$1:$E$15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0" i="2" l="1"/>
  <c r="B30" i="2"/>
  <c r="J29" i="2"/>
  <c r="B29" i="2"/>
  <c r="J28" i="2"/>
  <c r="B28" i="2"/>
  <c r="J27" i="2" l="1"/>
  <c r="B27" i="2"/>
  <c r="J26" i="2"/>
  <c r="B26" i="2"/>
  <c r="J25" i="2"/>
  <c r="B25" i="2"/>
  <c r="J24" i="2"/>
  <c r="B24" i="2"/>
  <c r="J23" i="2"/>
  <c r="B23" i="2"/>
  <c r="J22" i="2"/>
  <c r="B22" i="2"/>
  <c r="J21" i="2"/>
  <c r="B21" i="2"/>
  <c r="J20" i="2"/>
  <c r="B20" i="2"/>
  <c r="J19" i="2"/>
  <c r="B19" i="2"/>
  <c r="J18" i="2"/>
  <c r="B18" i="2"/>
  <c r="J17" i="2"/>
  <c r="B17" i="2"/>
  <c r="J16" i="2"/>
  <c r="B16" i="2"/>
  <c r="J15" i="2"/>
  <c r="B15" i="2"/>
  <c r="J14" i="2"/>
  <c r="B14" i="2"/>
  <c r="J13" i="2"/>
  <c r="B13" i="2"/>
  <c r="J12" i="2"/>
  <c r="B12" i="2"/>
  <c r="J11" i="2"/>
  <c r="B11" i="2"/>
  <c r="J10" i="2"/>
  <c r="B10" i="2"/>
  <c r="J9" i="2"/>
  <c r="B9" i="2"/>
  <c r="J8" i="2"/>
  <c r="B8" i="2"/>
  <c r="J7" i="2"/>
  <c r="B7" i="2"/>
  <c r="J6" i="2"/>
  <c r="B6" i="2"/>
  <c r="J5" i="2"/>
  <c r="B5" i="2"/>
  <c r="J3" i="2"/>
  <c r="B3" i="2"/>
  <c r="J2" i="2"/>
  <c r="H2" i="2" a="1"/>
  <c r="H2" i="2" s="1"/>
  <c r="F2" i="2" a="1"/>
  <c r="F2" i="2" s="1"/>
  <c r="D2" i="2" a="1"/>
  <c r="D2" i="2" s="1"/>
  <c r="H24" i="2" l="1"/>
  <c r="H30" i="2"/>
  <c r="H28" i="2"/>
  <c r="H29" i="2"/>
  <c r="F30" i="2"/>
  <c r="F28" i="2"/>
  <c r="F29" i="2"/>
  <c r="D26" i="2"/>
  <c r="D29" i="2"/>
  <c r="D30" i="2"/>
  <c r="D28" i="2"/>
  <c r="F21" i="2"/>
  <c r="F23" i="2"/>
  <c r="D12" i="2"/>
  <c r="D20" i="2"/>
  <c r="H7" i="2"/>
  <c r="H15" i="2"/>
  <c r="H3" i="2"/>
  <c r="H5" i="2"/>
  <c r="D7" i="2"/>
  <c r="F10" i="2"/>
  <c r="H13" i="2"/>
  <c r="D15" i="2"/>
  <c r="F18" i="2"/>
  <c r="H21" i="2"/>
  <c r="D23" i="2"/>
  <c r="F26" i="2"/>
  <c r="F4" i="2"/>
  <c r="D6" i="2"/>
  <c r="F9" i="2"/>
  <c r="H12" i="2"/>
  <c r="D14" i="2"/>
  <c r="F17" i="2"/>
  <c r="H20" i="2"/>
  <c r="D22" i="2"/>
  <c r="F25" i="2"/>
  <c r="F15" i="2"/>
  <c r="D9" i="2"/>
  <c r="D25" i="2"/>
  <c r="H4" i="2"/>
  <c r="F6" i="2"/>
  <c r="H9" i="2"/>
  <c r="D11" i="2"/>
  <c r="F14" i="2"/>
  <c r="H17" i="2"/>
  <c r="D19" i="2"/>
  <c r="F22" i="2"/>
  <c r="H25" i="2"/>
  <c r="D27" i="2"/>
  <c r="H10" i="2"/>
  <c r="D4" i="2"/>
  <c r="F12" i="2"/>
  <c r="F20" i="2"/>
  <c r="H6" i="2"/>
  <c r="D8" i="2"/>
  <c r="F11" i="2"/>
  <c r="H14" i="2"/>
  <c r="D16" i="2"/>
  <c r="F19" i="2"/>
  <c r="H22" i="2"/>
  <c r="D24" i="2"/>
  <c r="F27" i="2"/>
  <c r="F7" i="2"/>
  <c r="H18" i="2"/>
  <c r="H26" i="2"/>
  <c r="D17" i="2"/>
  <c r="H23" i="2"/>
  <c r="D3" i="2"/>
  <c r="D5" i="2"/>
  <c r="F8" i="2"/>
  <c r="H11" i="2"/>
  <c r="D13" i="2"/>
  <c r="F16" i="2"/>
  <c r="H19" i="2"/>
  <c r="D21" i="2"/>
  <c r="F24" i="2"/>
  <c r="H27" i="2"/>
  <c r="F3" i="2"/>
  <c r="F5" i="2"/>
  <c r="H8" i="2"/>
  <c r="D10" i="2"/>
  <c r="F13" i="2"/>
  <c r="H16" i="2"/>
  <c r="D18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クエリ - Table 3" description="ブック内の 'Table 3' クエリへの接続です。" type="5" refreshedVersion="0" background="1">
    <dbPr connection="Provider=Microsoft.Mashup.OleDb.1;Data Source=$Workbook$;Location=&quot;Table 3&quot;;Extended Properties=&quot;&quot;" command="SELECT * FROM [Table 3]"/>
  </connection>
  <connection id="2" xr16:uid="{00000000-0015-0000-FFFF-FFFF01000000}" keepAlive="1" name="クエリ - Table 3 (10)" description="ブック内の 'Table 3 (10)' クエリへの接続です。" type="5" refreshedVersion="8" background="1" saveData="1">
    <dbPr connection="Provider=Microsoft.Mashup.OleDb.1;Data Source=$Workbook$;Location=&quot;Table 3 (10)&quot;;Extended Properties=&quot;&quot;" command="SELECT * FROM [Table 3 (10)]"/>
  </connection>
  <connection id="3" xr16:uid="{00000000-0015-0000-FFFF-FFFF02000000}" keepAlive="1" name="クエリ - Table 3 (11)" description="ブック内の 'Table 3 (11)' クエリへの接続です。" type="5" refreshedVersion="8" background="1" saveData="1">
    <dbPr connection="Provider=Microsoft.Mashup.OleDb.1;Data Source=$Workbook$;Location=&quot;Table 3 (11)&quot;;Extended Properties=&quot;&quot;" command="SELECT * FROM [Table 3 (11)]"/>
  </connection>
  <connection id="4" xr16:uid="{00000000-0015-0000-FFFF-FFFF03000000}" keepAlive="1" name="クエリ - Table 3 (12)" description="ブック内の 'Table 3 (12)' クエリへの接続です。" type="5" refreshedVersion="8" background="1" saveData="1">
    <dbPr connection="Provider=Microsoft.Mashup.OleDb.1;Data Source=$Workbook$;Location=&quot;Table 3 (12)&quot;;Extended Properties=&quot;&quot;" command="SELECT * FROM [Table 3 (12)]"/>
  </connection>
  <connection id="5" xr16:uid="{00000000-0015-0000-FFFF-FFFF04000000}" keepAlive="1" name="クエリ - Table 3 (13)" description="ブック内の 'Table 3 (13)' クエリへの接続です。" type="5" refreshedVersion="0" background="1">
    <dbPr connection="Provider=Microsoft.Mashup.OleDb.1;Data Source=$Workbook$;Location=&quot;Table 3 (13)&quot;;Extended Properties=&quot;&quot;" command="SELECT * FROM [Table 3 (13)]"/>
  </connection>
  <connection id="6" xr16:uid="{00000000-0015-0000-FFFF-FFFF05000000}" keepAlive="1" name="クエリ - Table 3 (14)" description="ブック内の 'Table 3 (14)' クエリへの接続です。" type="5" refreshedVersion="8" background="1" saveData="1">
    <dbPr connection="Provider=Microsoft.Mashup.OleDb.1;Data Source=$Workbook$;Location=&quot;Table 3 (14)&quot;;Extended Properties=&quot;&quot;" command="SELECT * FROM [Table 3 (14)]"/>
  </connection>
  <connection id="7" xr16:uid="{BBDDB330-635A-4FD3-9B97-EA23FECC0AE6}" keepAlive="1" name="クエリ - Table 3 (17)" description="ブック内の 'Table 3 (17)' クエリへの接続です。" type="5" refreshedVersion="0" background="1">
    <dbPr connection="Provider=Microsoft.Mashup.OleDb.1;Data Source=$Workbook$;Location=&quot;Table 3 (17)&quot;;Extended Properties=&quot;&quot;" command="SELECT * FROM [Table 3 (17)]"/>
  </connection>
  <connection id="8" xr16:uid="{59629BA3-7031-4BD0-A30D-0546CC37554E}" keepAlive="1" name="クエリ - Table 3 (18)" description="ブック内の 'Table 3 (18)' クエリへの接続です。" type="5" refreshedVersion="8" background="1" saveData="1">
    <dbPr connection="Provider=Microsoft.Mashup.OleDb.1;Data Source=$Workbook$;Location=&quot;Table 3 (18)&quot;;Extended Properties=&quot;&quot;" command="SELECT * FROM [Table 3 (18)]"/>
  </connection>
  <connection id="9" xr16:uid="{08FA7F66-84D1-41B1-AD8A-A60A8C34F498}" keepAlive="1" name="クエリ - Table 3 (19)" description="ブック内の 'Table 3 (19)' クエリへの接続です。" type="5" refreshedVersion="8" background="1" saveData="1">
    <dbPr connection="Provider=Microsoft.Mashup.OleDb.1;Data Source=$Workbook$;Location=&quot;Table 3 (19)&quot;;Extended Properties=&quot;&quot;" command="SELECT * FROM [Table 3 (19)]"/>
  </connection>
  <connection id="10" xr16:uid="{00000000-0015-0000-FFFF-FFFF06000000}" keepAlive="1" name="クエリ - Table 3 (2)" description="ブック内の 'Table 3 (2)' クエリへの接続です。" type="5" refreshedVersion="0" background="1">
    <dbPr connection="Provider=Microsoft.Mashup.OleDb.1;Data Source=$Workbook$;Location=&quot;Table 3 (2)&quot;;Extended Properties=&quot;&quot;" command="SELECT * FROM [Table 3 (2)]"/>
  </connection>
  <connection id="11" xr16:uid="{1BB2406A-A215-49AD-BDCF-AB1CC1940533}" keepAlive="1" name="クエリ - Table 3 (20)" description="ブック内の 'Table 3 (20)' クエリへの接続です。" type="5" refreshedVersion="8" background="1" saveData="1">
    <dbPr connection="Provider=Microsoft.Mashup.OleDb.1;Data Source=$Workbook$;Location=&quot;Table 3 (20)&quot;;Extended Properties=&quot;&quot;" command="SELECT * FROM [Table 3 (20)]"/>
  </connection>
  <connection id="12" xr16:uid="{A923C67F-66FA-47A7-8769-2C8E672AADC2}" keepAlive="1" name="クエリ - Table 3 (21)" description="ブック内の 'Table 3 (21)' クエリへの接続です。" type="5" refreshedVersion="0" background="1">
    <dbPr connection="Provider=Microsoft.Mashup.OleDb.1;Data Source=$Workbook$;Location=&quot;Table 3 (21)&quot;;Extended Properties=&quot;&quot;" command="SELECT * FROM [Table 3 (21)]"/>
  </connection>
  <connection id="13" xr16:uid="{5C4F1F22-6BC5-4EEF-A525-55F0A2EAA8AB}" keepAlive="1" name="クエリ - Table 3 (22)" description="ブック内の 'Table 3 (22)' クエリへの接続です。" type="5" refreshedVersion="8" background="1" saveData="1">
    <dbPr connection="Provider=Microsoft.Mashup.OleDb.1;Data Source=$Workbook$;Location=&quot;Table 3 (22)&quot;;Extended Properties=&quot;&quot;" command="SELECT * FROM [Table 3 (22)]"/>
  </connection>
  <connection id="14" xr16:uid="{E157A86B-7235-439A-ACCA-6870352BCCE2}" keepAlive="1" name="クエリ - Table 3 (23)" description="ブック内の 'Table 3 (23)' クエリへの接続です。" type="5" refreshedVersion="8" background="1" saveData="1">
    <dbPr connection="Provider=Microsoft.Mashup.OleDb.1;Data Source=$Workbook$;Location=&quot;Table 3 (23)&quot;;Extended Properties=&quot;&quot;" command="SELECT * FROM [Table 3 (23)]"/>
  </connection>
  <connection id="15" xr16:uid="{BCB139AD-686B-4CA1-BED5-5EF4474290DB}" keepAlive="1" name="クエリ - Table 3 (24)" description="ブック内の 'Table 3 (24)' クエリへの接続です。" type="5" refreshedVersion="8" background="1" saveData="1">
    <dbPr connection="Provider=Microsoft.Mashup.OleDb.1;Data Source=$Workbook$;Location=&quot;Table 3 (24)&quot;;Extended Properties=&quot;&quot;" command="SELECT * FROM [Table 3 (24)]"/>
  </connection>
  <connection id="16" xr16:uid="{B390C490-7684-4991-B334-3962976A3C16}" keepAlive="1" name="クエリ - Table 3 (25)" description="ブック内の 'Table 3 (25)' クエリへの接続です。" type="5" refreshedVersion="0" background="1">
    <dbPr connection="Provider=Microsoft.Mashup.OleDb.1;Data Source=$Workbook$;Location=&quot;Table 3 (25)&quot;;Extended Properties=&quot;&quot;" command="SELECT * FROM [Table 3 (25)]"/>
  </connection>
  <connection id="17" xr16:uid="{96404DEB-DCAD-4EF3-9CB5-CDF10EE8EA43}" keepAlive="1" name="クエリ - Table 3 (26)" description="ブック内の 'Table 3 (26)' クエリへの接続です。" type="5" refreshedVersion="8" background="1" saveData="1">
    <dbPr connection="Provider=Microsoft.Mashup.OleDb.1;Data Source=$Workbook$;Location=&quot;Table 3 (26)&quot;;Extended Properties=&quot;&quot;" command="SELECT * FROM [Table 3 (26)]"/>
  </connection>
  <connection id="18" xr16:uid="{D91FCA50-814B-4209-9685-ADAE4EE9A52E}" keepAlive="1" name="クエリ - Table 3 (27)" description="ブック内の 'Table 3 (27)' クエリへの接続です。" type="5" refreshedVersion="0" background="1">
    <dbPr connection="Provider=Microsoft.Mashup.OleDb.1;Data Source=$Workbook$;Location=&quot;Table 3 (27)&quot;;Extended Properties=&quot;&quot;" command="SELECT * FROM [Table 3 (27)]"/>
  </connection>
  <connection id="19" xr16:uid="{087A6F5E-2E87-4E34-AC3A-2C6157520DAA}" keepAlive="1" name="クエリ - Table 3 (28)" description="ブック内の 'Table 3 (28)' クエリへの接続です。" type="5" refreshedVersion="8" background="1" saveData="1">
    <dbPr connection="Provider=Microsoft.Mashup.OleDb.1;Data Source=$Workbook$;Location=&quot;Table 3 (28)&quot;;Extended Properties=&quot;&quot;" command="SELECT * FROM [Table 3 (28)]"/>
  </connection>
  <connection id="20" xr16:uid="{5ABE8F91-5CB3-468F-9F21-A64594C0D26F}" keepAlive="1" name="クエリ - Table 3 (29)" description="ブック内の 'Table 3 (29)' クエリへの接続です。" type="5" refreshedVersion="8" background="1" saveData="1">
    <dbPr connection="Provider=Microsoft.Mashup.OleDb.1;Data Source=$Workbook$;Location=&quot;Table 3 (29)&quot;;Extended Properties=&quot;&quot;" command="SELECT * FROM [Table 3 (29)]"/>
  </connection>
  <connection id="21" xr16:uid="{00000000-0015-0000-FFFF-FFFF07000000}" keepAlive="1" name="クエリ - Table 3 (3)" description="ブック内の 'Table 3 (3)' クエリへの接続です。" type="5" refreshedVersion="8" background="1" saveData="1">
    <dbPr connection="Provider=Microsoft.Mashup.OleDb.1;Data Source=$Workbook$;Location=&quot;Table 3 (3)&quot;;Extended Properties=&quot;&quot;" command="SELECT * FROM [Table 3 (3)]"/>
  </connection>
  <connection id="22" xr16:uid="{30219059-5A6A-48D3-B83D-9E080CDF23F5}" keepAlive="1" name="クエリ - Table 3 (30)" description="ブック内の 'Table 3 (30)' クエリへの接続です。" type="5" refreshedVersion="8" background="1" saveData="1">
    <dbPr connection="Provider=Microsoft.Mashup.OleDb.1;Data Source=$Workbook$;Location=&quot;Table 3 (30)&quot;;Extended Properties=&quot;&quot;" command="SELECT * FROM [Table 3 (30)]"/>
  </connection>
  <connection id="23" xr16:uid="{BEEC4493-24B8-45BD-BA72-A99614481F9D}" keepAlive="1" name="クエリ - Table 3 (31)" description="ブック内の 'Table 3 (31)' クエリへの接続です。" type="5" refreshedVersion="0" background="1">
    <dbPr connection="Provider=Microsoft.Mashup.OleDb.1;Data Source=$Workbook$;Location=&quot;Table 3 (31)&quot;;Extended Properties=&quot;&quot;" command="SELECT * FROM [Table 3 (31)]"/>
  </connection>
  <connection id="24" xr16:uid="{F96985D1-BCC0-4393-809C-6ACB6E0D2913}" keepAlive="1" name="クエリ - Table 3 (32)" description="ブック内の 'Table 3 (32)' クエリへの接続です。" type="5" refreshedVersion="8" background="1" saveData="1">
    <dbPr connection="Provider=Microsoft.Mashup.OleDb.1;Data Source=$Workbook$;Location=&quot;Table 3 (32)&quot;;Extended Properties=&quot;&quot;" command="SELECT * FROM [Table 3 (32)]"/>
  </connection>
  <connection id="25" xr16:uid="{5F823967-9E8D-4A03-9DA1-1A207095B3ED}" keepAlive="1" name="クエリ - Table 3 (33)" description="ブック内の 'Table 3 (33)' クエリへの接続です。" type="5" refreshedVersion="8" background="1" saveData="1">
    <dbPr connection="Provider=Microsoft.Mashup.OleDb.1;Data Source=$Workbook$;Location=&quot;Table 3 (33)&quot;;Extended Properties=&quot;&quot;" command="SELECT * FROM [Table 3 (33)]"/>
  </connection>
  <connection id="26" xr16:uid="{5993CCC8-FDFD-4119-B7F4-609C7EF0845B}" keepAlive="1" name="クエリ - Table 3 (34)" description="ブック内の 'Table 3 (34)' クエリへの接続です。" type="5" refreshedVersion="8" background="1" saveData="1">
    <dbPr connection="Provider=Microsoft.Mashup.OleDb.1;Data Source=$Workbook$;Location=&quot;Table 3 (34)&quot;;Extended Properties=&quot;&quot;" command="SELECT * FROM [Table 3 (34)]"/>
  </connection>
  <connection id="27" xr16:uid="{0D4A6A05-6E5B-4965-8A95-0C2485E0B07A}" keepAlive="1" name="クエリ - Table 3 (35)" description="ブック内の 'Table 3 (35)' クエリへの接続です。" type="5" refreshedVersion="8" background="1" saveData="1">
    <dbPr connection="Provider=Microsoft.Mashup.OleDb.1;Data Source=$Workbook$;Location=&quot;Table 3 (35)&quot;;Extended Properties=&quot;&quot;" command="SELECT * FROM [Table 3 (35)]"/>
  </connection>
  <connection id="28" xr16:uid="{A7B07713-00C4-4892-A796-A8938D2A4F65}" keepAlive="1" name="クエリ - Table 3 (36)" description="ブック内の 'Table 3 (36)' クエリへの接続です。" type="5" refreshedVersion="8" background="1" saveData="1">
    <dbPr connection="Provider=Microsoft.Mashup.OleDb.1;Data Source=$Workbook$;Location=&quot;Table 3 (36)&quot;;Extended Properties=&quot;&quot;" command="SELECT * FROM [Table 3 (36)]"/>
  </connection>
  <connection id="29" xr16:uid="{C3B7EA04-0FA9-4840-9156-A7C81F662A74}" keepAlive="1" name="クエリ - Table 3 (37)" description="ブック内の 'Table 3 (37)' クエリへの接続です。" type="5" refreshedVersion="8" background="1" saveData="1">
    <dbPr connection="Provider=Microsoft.Mashup.OleDb.1;Data Source=$Workbook$;Location=&quot;Table 3 (37)&quot;;Extended Properties=&quot;&quot;" command="SELECT * FROM [Table 3 (37)]"/>
  </connection>
  <connection id="30" xr16:uid="{3D7F0046-D826-4677-B8E6-2DD830DB01D7}" keepAlive="1" name="クエリ - Table 3 (38)" description="ブック内の 'Table 3 (38)' クエリへの接続です。" type="5" refreshedVersion="8" background="1" saveData="1">
    <dbPr connection="Provider=Microsoft.Mashup.OleDb.1;Data Source=$Workbook$;Location=&quot;Table 3 (38)&quot;;Extended Properties=&quot;&quot;" command="SELECT * FROM [Table 3 (38)]"/>
  </connection>
  <connection id="31" xr16:uid="{D95B5317-AB5F-4BB7-BFEC-8E4CC14D01E4}" keepAlive="1" name="クエリ - Table 3 (39)" description="ブック内の 'Table 3 (39)' クエリへの接続です。" type="5" refreshedVersion="0" background="1">
    <dbPr connection="Provider=Microsoft.Mashup.OleDb.1;Data Source=$Workbook$;Location=&quot;Table 3 (39)&quot;;Extended Properties=&quot;&quot;" command="SELECT * FROM [Table 3 (39)]"/>
  </connection>
  <connection id="32" xr16:uid="{00000000-0015-0000-FFFF-FFFF08000000}" keepAlive="1" name="クエリ - Table 3 (4)" description="ブック内の 'Table 3 (4)' クエリへの接続です。" type="5" refreshedVersion="8" background="1" saveData="1">
    <dbPr connection="Provider=Microsoft.Mashup.OleDb.1;Data Source=$Workbook$;Location=&quot;Table 3 (4)&quot;;Extended Properties=&quot;&quot;" command="SELECT * FROM [Table 3 (4)]"/>
  </connection>
  <connection id="33" xr16:uid="{3E8A2834-A264-4926-9CC7-F3D329839317}" keepAlive="1" name="クエリ - Table 3 (40)" description="ブック内の 'Table 3 (40)' クエリへの接続です。" type="5" refreshedVersion="8" background="1" saveData="1">
    <dbPr connection="Provider=Microsoft.Mashup.OleDb.1;Data Source=$Workbook$;Location=&quot;Table 3 (40)&quot;;Extended Properties=&quot;&quot;" command="SELECT * FROM [Table 3 (40)]"/>
  </connection>
  <connection id="34" xr16:uid="{0C3944EF-E0CC-4A8C-84AA-0B82D6653D85}" keepAlive="1" name="クエリ - Table 3 (41)" description="ブック内の 'Table 3 (41)' クエリへの接続です。" type="5" refreshedVersion="8" background="1" saveData="1">
    <dbPr connection="Provider=Microsoft.Mashup.OleDb.1;Data Source=$Workbook$;Location=&quot;Table 3 (41)&quot;;Extended Properties=&quot;&quot;" command="SELECT * FROM [Table 3 (41)]"/>
  </connection>
  <connection id="35" xr16:uid="{1714E083-43AA-4694-B263-134E90E36B66}" keepAlive="1" name="クエリ - Table 3 (42)" description="ブック内の 'Table 3 (42)' クエリへの接続です。" type="5" refreshedVersion="8" background="1" saveData="1">
    <dbPr connection="Provider=Microsoft.Mashup.OleDb.1;Data Source=$Workbook$;Location=&quot;Table 3 (42)&quot;;Extended Properties=&quot;&quot;" command="SELECT * FROM [Table 3 (42)]"/>
  </connection>
  <connection id="36" xr16:uid="{D71BE0F1-CAB7-4A33-907C-8F8851146D48}" keepAlive="1" name="クエリ - Table 3 (43)" description="ブック内の 'Table 3 (43)' クエリへの接続です。" type="5" refreshedVersion="0" background="1">
    <dbPr connection="Provider=Microsoft.Mashup.OleDb.1;Data Source=$Workbook$;Location=&quot;Table 3 (43)&quot;;Extended Properties=&quot;&quot;" command="SELECT * FROM [Table 3 (43)]"/>
  </connection>
  <connection id="37" xr16:uid="{044A3C8E-03A8-4B2C-86FF-586DDE5D3C13}" keepAlive="1" name="クエリ - Table 3 (44)" description="ブック内の 'Table 3 (44)' クエリへの接続です。" type="5" refreshedVersion="8" background="1" saveData="1">
    <dbPr connection="Provider=Microsoft.Mashup.OleDb.1;Data Source=$Workbook$;Location=&quot;Table 3 (44)&quot;;Extended Properties=&quot;&quot;" command="SELECT * FROM [Table 3 (44)]"/>
  </connection>
  <connection id="38" xr16:uid="{9441CB51-2FCB-4D67-B7BB-ACB4516A2F42}" keepAlive="1" name="クエリ - Table 3 (45)" description="ブック内の 'Table 3 (45)' クエリへの接続です。" type="5" refreshedVersion="8" background="1" saveData="1">
    <dbPr connection="Provider=Microsoft.Mashup.OleDb.1;Data Source=$Workbook$;Location=&quot;Table 3 (45)&quot;;Extended Properties=&quot;&quot;" command="SELECT * FROM [Table 3 (45)]"/>
  </connection>
  <connection id="39" xr16:uid="{1CDB8E65-1689-402A-B03C-C1609D040FA1}" keepAlive="1" name="クエリ - Table 3 (46)" description="ブック内の 'Table 3 (46)' クエリへの接続です。" type="5" refreshedVersion="8" background="1" saveData="1">
    <dbPr connection="Provider=Microsoft.Mashup.OleDb.1;Data Source=$Workbook$;Location=&quot;Table 3 (46)&quot;;Extended Properties=&quot;&quot;" command="SELECT * FROM [Table 3 (46)]"/>
  </connection>
  <connection id="40" xr16:uid="{EBC09895-E0C2-4FEB-837A-191072F1BFE8}" keepAlive="1" name="クエリ - Table 3 (47)" description="ブック内の 'Table 3 (47)' クエリへの接続です。" type="5" refreshedVersion="0" background="1">
    <dbPr connection="Provider=Microsoft.Mashup.OleDb.1;Data Source=$Workbook$;Location=&quot;Table 3 (47)&quot;;Extended Properties=&quot;&quot;" command="SELECT * FROM [Table 3 (47)]"/>
  </connection>
  <connection id="41" xr16:uid="{6C6798D4-B054-4576-9333-829ED85B7AE1}" keepAlive="1" name="クエリ - Table 3 (48)" description="ブック内の 'Table 3 (48)' クエリへの接続です。" type="5" refreshedVersion="8" background="1" saveData="1">
    <dbPr connection="Provider=Microsoft.Mashup.OleDb.1;Data Source=$Workbook$;Location=&quot;Table 3 (48)&quot;;Extended Properties=&quot;&quot;" command="SELECT * FROM [Table 3 (48)]"/>
  </connection>
  <connection id="42" xr16:uid="{ED3463E4-9D92-46BD-BE53-E246E580EFFB}" keepAlive="1" name="クエリ - Table 3 (49)" description="ブック内の 'Table 3 (49)' クエリへの接続です。" type="5" refreshedVersion="8" background="1" saveData="1">
    <dbPr connection="Provider=Microsoft.Mashup.OleDb.1;Data Source=$Workbook$;Location=&quot;Table 3 (49)&quot;;Extended Properties=&quot;&quot;" command="SELECT * FROM [Table 3 (49)]"/>
  </connection>
  <connection id="43" xr16:uid="{00000000-0015-0000-FFFF-FFFF09000000}" keepAlive="1" name="クエリ - Table 3 (5)" description="ブック内の 'Table 3 (5)' クエリへの接続です。" type="5" refreshedVersion="8" background="1" saveData="1">
    <dbPr connection="Provider=Microsoft.Mashup.OleDb.1;Data Source=$Workbook$;Location=&quot;Table 3 (5)&quot;;Extended Properties=&quot;&quot;" command="SELECT * FROM [Table 3 (5)]"/>
  </connection>
  <connection id="44" xr16:uid="{2DE8387B-4D55-4A60-931A-2428019F495E}" keepAlive="1" name="クエリ - Table 3 (50)" description="ブック内の 'Table 3 (50)' クエリへの接続です。" type="5" refreshedVersion="8" background="1" saveData="1">
    <dbPr connection="Provider=Microsoft.Mashup.OleDb.1;Data Source=$Workbook$;Location=&quot;Table 3 (50)&quot;;Extended Properties=&quot;&quot;" command="SELECT * FROM [Table 3 (50)]"/>
  </connection>
  <connection id="45" xr16:uid="{7F7B5444-DE18-4398-B0CA-217250B9FCF4}" keepAlive="1" name="クエリ - Table 3 (51)" description="ブック内の 'Table 3 (51)' クエリへの接続です。" type="5" refreshedVersion="0" background="1">
    <dbPr connection="Provider=Microsoft.Mashup.OleDb.1;Data Source=$Workbook$;Location=&quot;Table 3 (51)&quot;;Extended Properties=&quot;&quot;" command="SELECT * FROM [Table 3 (51)]"/>
  </connection>
  <connection id="46" xr16:uid="{F9CEF165-5BD4-4BA9-A76D-DD931EE26B40}" keepAlive="1" name="クエリ - Table 3 (52)" description="ブック内の 'Table 3 (52)' クエリへの接続です。" type="5" refreshedVersion="8" background="1" saveData="1">
    <dbPr connection="Provider=Microsoft.Mashup.OleDb.1;Data Source=$Workbook$;Location=&quot;Table 3 (52)&quot;;Extended Properties=&quot;&quot;" command="SELECT * FROM [Table 3 (52)]"/>
  </connection>
  <connection id="47" xr16:uid="{63A81AD9-0308-409F-A920-7FF919C71A6B}" keepAlive="1" name="クエリ - Table 3 (53)" description="ブック内の 'Table 3 (53)' クエリへの接続です。" type="5" refreshedVersion="8" background="1" saveData="1">
    <dbPr connection="Provider=Microsoft.Mashup.OleDb.1;Data Source=$Workbook$;Location=&quot;Table 3 (53)&quot;;Extended Properties=&quot;&quot;" command="SELECT * FROM [Table 3 (53)]"/>
  </connection>
  <connection id="48" xr16:uid="{A53EFC76-213A-4881-BDBC-9CBA0B986614}" keepAlive="1" name="クエリ - Table 3 (54)" description="ブック内の 'Table 3 (54)' クエリへの接続です。" type="5" refreshedVersion="8" background="1" saveData="1">
    <dbPr connection="Provider=Microsoft.Mashup.OleDb.1;Data Source=$Workbook$;Location=&quot;Table 3 (54)&quot;;Extended Properties=&quot;&quot;" command="SELECT * FROM [Table 3 (54)]"/>
  </connection>
  <connection id="49" xr16:uid="{D3CF9B5C-9D7D-4794-BEC1-6743F9CB0611}" keepAlive="1" name="クエリ - Table 3 (55)" description="ブック内の 'Table 3 (55)' クエリへの接続です。" type="5" refreshedVersion="0" background="1">
    <dbPr connection="Provider=Microsoft.Mashup.OleDb.1;Data Source=$Workbook$;Location=&quot;Table 3 (55)&quot;;Extended Properties=&quot;&quot;" command="SELECT * FROM [Table 3 (55)]"/>
  </connection>
  <connection id="50" xr16:uid="{A1540960-9E11-4465-BB2F-7A13C34D06C9}" keepAlive="1" name="クエリ - Table 3 (56)" description="ブック内の 'Table 3 (56)' クエリへの接続です。" type="5" refreshedVersion="8" background="1" saveData="1">
    <dbPr connection="Provider=Microsoft.Mashup.OleDb.1;Data Source=$Workbook$;Location=&quot;Table 3 (56)&quot;;Extended Properties=&quot;&quot;" command="SELECT * FROM [Table 3 (56)]"/>
  </connection>
  <connection id="51" xr16:uid="{CEF73C73-578B-4672-B688-03089AFFF831}" keepAlive="1" name="クエリ - Table 3 (57)" description="ブック内の 'Table 3 (57)' クエリへの接続です。" type="5" refreshedVersion="8" background="1" saveData="1">
    <dbPr connection="Provider=Microsoft.Mashup.OleDb.1;Data Source=$Workbook$;Location=&quot;Table 3 (57)&quot;;Extended Properties=&quot;&quot;" command="SELECT * FROM [Table 3 (57)]"/>
  </connection>
  <connection id="52" xr16:uid="{F8353580-F12A-49C9-A1B0-E2DC70758AA5}" keepAlive="1" name="クエリ - Table 3 (58)" description="ブック内の 'Table 3 (58)' クエリへの接続です。" type="5" refreshedVersion="8" background="1" saveData="1">
    <dbPr connection="Provider=Microsoft.Mashup.OleDb.1;Data Source=$Workbook$;Location=&quot;Table 3 (58)&quot;;Extended Properties=&quot;&quot;" command="SELECT * FROM [Table 3 (58)]"/>
  </connection>
  <connection id="53" xr16:uid="{6F2A582B-139A-408D-8A3F-AF9218616E11}" keepAlive="1" name="クエリ - Table 3 (59)" description="ブック内の 'Table 3 (59)' クエリへの接続です。" type="5" refreshedVersion="0" background="1">
    <dbPr connection="Provider=Microsoft.Mashup.OleDb.1;Data Source=$Workbook$;Location=&quot;Table 3 (59)&quot;;Extended Properties=&quot;&quot;" command="SELECT * FROM [Table 3 (59)]"/>
  </connection>
  <connection id="54" xr16:uid="{00000000-0015-0000-FFFF-FFFF0A000000}" keepAlive="1" name="クエリ - Table 3 (6)" description="ブック内の 'Table 3 (6)' クエリへの接続です。" type="5" refreshedVersion="8" background="1" saveData="1">
    <dbPr connection="Provider=Microsoft.Mashup.OleDb.1;Data Source=$Workbook$;Location=&quot;Table 3 (6)&quot;;Extended Properties=&quot;&quot;" command="SELECT * FROM [Table 3 (6)]"/>
  </connection>
  <connection id="55" xr16:uid="{6D322BA9-22CA-4EDE-9A6E-5578919B3227}" keepAlive="1" name="クエリ - Table 3 (60)" description="ブック内の 'Table 3 (60)' クエリへの接続です。" type="5" refreshedVersion="8" background="1" saveData="1">
    <dbPr connection="Provider=Microsoft.Mashup.OleDb.1;Data Source=$Workbook$;Location=&quot;Table 3 (60)&quot;;Extended Properties=&quot;&quot;" command="SELECT * FROM [Table 3 (60)]"/>
  </connection>
  <connection id="56" xr16:uid="{92A15584-4775-4A0F-805C-71FAC8A438A8}" keepAlive="1" name="クエリ - Table 3 (61)" description="ブック内の 'Table 3 (61)' クエリへの接続です。" type="5" refreshedVersion="8" background="1" saveData="1">
    <dbPr connection="Provider=Microsoft.Mashup.OleDb.1;Data Source=$Workbook$;Location=&quot;Table 3 (61)&quot;;Extended Properties=&quot;&quot;" command="SELECT * FROM [Table 3 (61)]"/>
  </connection>
  <connection id="57" xr16:uid="{094B29CD-E7A5-4E46-B477-8DCBF892703D}" keepAlive="1" name="クエリ - Table 3 (62)" description="ブック内の 'Table 3 (62)' クエリへの接続です。" type="5" refreshedVersion="8" background="1" saveData="1">
    <dbPr connection="Provider=Microsoft.Mashup.OleDb.1;Data Source=$Workbook$;Location=&quot;Table 3 (62)&quot;;Extended Properties=&quot;&quot;" command="SELECT * FROM [Table 3 (62)]"/>
  </connection>
  <connection id="58" xr16:uid="{FF7ADC95-B0EE-4B27-A1AA-F5EE285A2A78}" keepAlive="1" name="クエリ - Table 3 (63)" description="ブック内の 'Table 3 (63)' クエリへの接続です。" type="5" refreshedVersion="0" background="1">
    <dbPr connection="Provider=Microsoft.Mashup.OleDb.1;Data Source=$Workbook$;Location=&quot;Table 3 (63)&quot;;Extended Properties=&quot;&quot;" command="SELECT * FROM [Table 3 (63)]"/>
  </connection>
  <connection id="59" xr16:uid="{9E3C50A5-DF4A-4989-9A02-D97A840BC531}" keepAlive="1" name="クエリ - Table 3 (64)" description="ブック内の 'Table 3 (64)' クエリへの接続です。" type="5" refreshedVersion="8" background="1" saveData="1">
    <dbPr connection="Provider=Microsoft.Mashup.OleDb.1;Data Source=$Workbook$;Location=&quot;Table 3 (64)&quot;;Extended Properties=&quot;&quot;" command="SELECT * FROM [Table 3 (64)]"/>
  </connection>
  <connection id="60" xr16:uid="{46E3448E-73B0-4D62-B62D-2E55B157E580}" keepAlive="1" name="クエリ - Table 3 (65)" description="ブック内の 'Table 3 (65)' クエリへの接続です。" type="5" refreshedVersion="8" background="1" saveData="1">
    <dbPr connection="Provider=Microsoft.Mashup.OleDb.1;Data Source=$Workbook$;Location=&quot;Table 3 (65)&quot;;Extended Properties=&quot;&quot;" command="SELECT * FROM [Table 3 (65)]"/>
  </connection>
  <connection id="61" xr16:uid="{54F3CD74-7489-4FB7-8D70-565154485148}" keepAlive="1" name="クエリ - Table 3 (66)" description="ブック内の 'Table 3 (66)' クエリへの接続です。" type="5" refreshedVersion="8" background="1" saveData="1">
    <dbPr connection="Provider=Microsoft.Mashup.OleDb.1;Data Source=$Workbook$;Location=&quot;Table 3 (66)&quot;;Extended Properties=&quot;&quot;" command="SELECT * FROM [Table 3 (66)]"/>
  </connection>
  <connection id="62" xr16:uid="{AADF24EB-F9B8-4687-B471-60BB18F0F795}" keepAlive="1" name="クエリ - Table 3 (67)" description="ブック内の 'Table 3 (67)' クエリへの接続です。" type="5" refreshedVersion="0" background="1">
    <dbPr connection="Provider=Microsoft.Mashup.OleDb.1;Data Source=$Workbook$;Location=&quot;Table 3 (67)&quot;;Extended Properties=&quot;&quot;" command="SELECT * FROM [Table 3 (67)]"/>
  </connection>
  <connection id="63" xr16:uid="{7B264E4C-3731-4571-9220-7CFF494EF746}" keepAlive="1" name="クエリ - Table 3 (68)" description="ブック内の 'Table 3 (68)' クエリへの接続です。" type="5" refreshedVersion="8" background="1" saveData="1">
    <dbPr connection="Provider=Microsoft.Mashup.OleDb.1;Data Source=$Workbook$;Location=&quot;Table 3 (68)&quot;;Extended Properties=&quot;&quot;" command="SELECT * FROM [Table 3 (68)]"/>
  </connection>
  <connection id="64" xr16:uid="{7DB00DCD-0E5C-4F71-823F-0F0265165258}" keepAlive="1" name="クエリ - Table 3 (69)" description="ブック内の 'Table 3 (69)' クエリへの接続です。" type="5" refreshedVersion="8" background="1" saveData="1">
    <dbPr connection="Provider=Microsoft.Mashup.OleDb.1;Data Source=$Workbook$;Location=&quot;Table 3 (69)&quot;;Extended Properties=&quot;&quot;" command="SELECT * FROM [Table 3 (69)]"/>
  </connection>
  <connection id="65" xr16:uid="{00000000-0015-0000-FFFF-FFFF0B000000}" keepAlive="1" name="クエリ - Table 3 (7)" description="ブック内の 'Table 3 (7)' クエリへの接続です。" type="5" refreshedVersion="8" background="1" saveData="1">
    <dbPr connection="Provider=Microsoft.Mashup.OleDb.1;Data Source=$Workbook$;Location=&quot;Table 3 (7)&quot;;Extended Properties=&quot;&quot;" command="SELECT * FROM [Table 3 (7)]"/>
  </connection>
  <connection id="66" xr16:uid="{02665DCA-91FA-49E0-812F-867079DA84F1}" keepAlive="1" name="クエリ - Table 3 (70)" description="ブック内の 'Table 3 (70)' クエリへの接続です。" type="5" refreshedVersion="8" background="1" saveData="1">
    <dbPr connection="Provider=Microsoft.Mashup.OleDb.1;Data Source=$Workbook$;Location=&quot;Table 3 (70)&quot;;Extended Properties=&quot;&quot;" command="SELECT * FROM [Table 3 (70)]"/>
  </connection>
  <connection id="67" xr16:uid="{05376101-A942-48DB-A9DC-EE975F683E71}" keepAlive="1" name="クエリ - Table 3 (71)" description="ブック内の 'Table 3 (71)' クエリへの接続です。" type="5" refreshedVersion="0" background="1">
    <dbPr connection="Provider=Microsoft.Mashup.OleDb.1;Data Source=$Workbook$;Location=&quot;Table 3 (71)&quot;;Extended Properties=&quot;&quot;" command="SELECT * FROM [Table 3 (71)]"/>
  </connection>
  <connection id="68" xr16:uid="{E993DDB2-F288-42A6-B4C7-F11FD2B0C5EC}" keepAlive="1" name="クエリ - Table 3 (72)" description="ブック内の 'Table 3 (72)' クエリへの接続です。" type="5" refreshedVersion="8" background="1" saveData="1">
    <dbPr connection="Provider=Microsoft.Mashup.OleDb.1;Data Source=$Workbook$;Location=&quot;Table 3 (72)&quot;;Extended Properties=&quot;&quot;" command="SELECT * FROM [Table 3 (72)]"/>
  </connection>
  <connection id="69" xr16:uid="{BD82E985-EB16-448F-9B80-02E0A82917FB}" keepAlive="1" name="クエリ - Table 3 (73)" description="ブック内の 'Table 3 (73)' クエリへの接続です。" type="5" refreshedVersion="8" background="1" saveData="1">
    <dbPr connection="Provider=Microsoft.Mashup.OleDb.1;Data Source=$Workbook$;Location=&quot;Table 3 (73)&quot;;Extended Properties=&quot;&quot;" command="SELECT * FROM [Table 3 (73)]"/>
  </connection>
  <connection id="70" xr16:uid="{88795861-4768-404F-9CD8-BE4BABEDAB7C}" keepAlive="1" name="クエリ - Table 3 (74)" description="ブック内の 'Table 3 (74)' クエリへの接続です。" type="5" refreshedVersion="8" background="1" saveData="1">
    <dbPr connection="Provider=Microsoft.Mashup.OleDb.1;Data Source=$Workbook$;Location=&quot;Table 3 (74)&quot;;Extended Properties=&quot;&quot;" command="SELECT * FROM [Table 3 (74)]"/>
  </connection>
  <connection id="71" xr16:uid="{8305E397-9ADD-4431-AE59-D9F970D938A7}" keepAlive="1" name="クエリ - Table 3 (75)" description="ブック内の 'Table 3 (75)' クエリへの接続です。" type="5" refreshedVersion="0" background="1">
    <dbPr connection="Provider=Microsoft.Mashup.OleDb.1;Data Source=$Workbook$;Location=&quot;Table 3 (75)&quot;;Extended Properties=&quot;&quot;" command="SELECT * FROM [Table 3 (75)]"/>
  </connection>
  <connection id="72" xr16:uid="{6ECB0029-D7D2-4B83-B3E6-CF749B6B124C}" keepAlive="1" name="クエリ - Table 3 (76)" description="ブック内の 'Table 3 (76)' クエリへの接続です。" type="5" refreshedVersion="8" background="1" saveData="1">
    <dbPr connection="Provider=Microsoft.Mashup.OleDb.1;Data Source=$Workbook$;Location=&quot;Table 3 (76)&quot;;Extended Properties=&quot;&quot;" command="SELECT * FROM [Table 3 (76)]"/>
  </connection>
  <connection id="73" xr16:uid="{4B2808B6-18E7-4A3C-AE71-1679BDC636B2}" keepAlive="1" name="クエリ - Table 3 (77)" description="ブック内の 'Table 3 (77)' クエリへの接続です。" type="5" refreshedVersion="0" background="1">
    <dbPr connection="Provider=Microsoft.Mashup.OleDb.1;Data Source=$Workbook$;Location=&quot;Table 3 (77)&quot;;Extended Properties=&quot;&quot;" command="SELECT * FROM [Table 3 (77)]"/>
  </connection>
  <connection id="74" xr16:uid="{FEEBCF10-25D6-4180-933D-EFF8040962BB}" keepAlive="1" name="クエリ - Table 3 (78)" description="ブック内の 'Table 3 (78)' クエリへの接続です。" type="5" refreshedVersion="8" background="1" saveData="1">
    <dbPr connection="Provider=Microsoft.Mashup.OleDb.1;Data Source=$Workbook$;Location=&quot;Table 3 (78)&quot;;Extended Properties=&quot;&quot;" command="SELECT * FROM [Table 3 (78)]"/>
  </connection>
  <connection id="75" xr16:uid="{8CD6D0C9-495E-4ABA-B561-19D254C678A4}" keepAlive="1" name="クエリ - Table 3 (79)" description="ブック内の 'Table 3 (79)' クエリへの接続です。" type="5" refreshedVersion="8" background="1" saveData="1">
    <dbPr connection="Provider=Microsoft.Mashup.OleDb.1;Data Source=$Workbook$;Location=&quot;Table 3 (79)&quot;;Extended Properties=&quot;&quot;" command="SELECT * FROM [Table 3 (79)]"/>
  </connection>
  <connection id="76" xr16:uid="{00000000-0015-0000-FFFF-FFFF0C000000}" keepAlive="1" name="クエリ - Table 3 (8)" description="ブック内の 'Table 3 (8)' クエリへの接続です。" type="5" refreshedVersion="8" background="1" saveData="1">
    <dbPr connection="Provider=Microsoft.Mashup.OleDb.1;Data Source=$Workbook$;Location=&quot;Table 3 (8)&quot;;Extended Properties=&quot;&quot;" command="SELECT * FROM [Table 3 (8)]"/>
  </connection>
  <connection id="77" xr16:uid="{C9EC232A-D1C2-4573-8DDA-AAB85115219B}" keepAlive="1" name="クエリ - Table 3 (80)" description="ブック内の 'Table 3 (80)' クエリへの接続です。" type="5" refreshedVersion="8" background="1" saveData="1">
    <dbPr connection="Provider=Microsoft.Mashup.OleDb.1;Data Source=$Workbook$;Location=&quot;Table 3 (80)&quot;;Extended Properties=&quot;&quot;" command="SELECT * FROM [Table 3 (80)]"/>
  </connection>
  <connection id="78" xr16:uid="{00000000-0015-0000-FFFF-FFFF0D000000}" keepAlive="1" name="クエリ - Table 3 (9)" description="ブック内の 'Table 3 (9)' クエリへの接続です。" type="5" refreshedVersion="0" background="1">
    <dbPr connection="Provider=Microsoft.Mashup.OleDb.1;Data Source=$Workbook$;Location=&quot;Table 3 (9)&quot;;Extended Properties=&quot;&quot;" command="SELECT * FROM [Table 3 (9)]"/>
  </connection>
  <connection id="79" xr16:uid="{4005F21F-CBFE-45CD-917B-2A149EB46346}" keepAlive="1" name="クエリ - テーブル 5" description="ブック内の 'テーブル 5' クエリへの接続です。" type="5" refreshedVersion="8" background="1" saveData="1">
    <dbPr connection="Provider=Microsoft.Mashup.OleDb.1;Data Source=$Workbook$;Location=&quot;テーブル 5&quot;;Extended Properties=&quot;&quot;" command="SELECT * FROM [テーブル 5]"/>
  </connection>
  <connection id="80" xr16:uid="{26F84E0A-2BC1-4657-927E-D1C020CF38C5}" keepAlive="1" name="クエリ - テーブル 5 (10)" description="ブック内の 'テーブル 5 (10)' クエリへの接続です。" type="5" refreshedVersion="8" background="1" saveData="1">
    <dbPr connection="Provider=Microsoft.Mashup.OleDb.1;Data Source=$Workbook$;Location=&quot;テーブル 5 (10)&quot;;Extended Properties=&quot;&quot;" command="SELECT * FROM [テーブル 5 (10)]"/>
  </connection>
  <connection id="81" xr16:uid="{5ABDF216-6D52-4542-A11F-70448CE407E0}" keepAlive="1" name="クエリ - テーブル 5 (11)" description="ブック内の 'テーブル 5 (11)' クエリへの接続です。" type="5" refreshedVersion="0" background="1">
    <dbPr connection="Provider=Microsoft.Mashup.OleDb.1;Data Source=$Workbook$;Location=&quot;テーブル 5 (11)&quot;;Extended Properties=&quot;&quot;" command="SELECT * FROM [テーブル 5 (11)]"/>
  </connection>
  <connection id="82" xr16:uid="{56DF7559-F31D-45FE-AC4A-A282EF63CCC2}" keepAlive="1" name="クエリ - テーブル 5 (12)" description="ブック内の 'テーブル 5 (12)' クエリへの接続です。" type="5" refreshedVersion="8" background="1" saveData="1">
    <dbPr connection="Provider=Microsoft.Mashup.OleDb.1;Data Source=$Workbook$;Location=&quot;テーブル 5 (12)&quot;;Extended Properties=&quot;&quot;" command="SELECT * FROM [テーブル 5 (12)]"/>
  </connection>
  <connection id="83" xr16:uid="{AFB6CB50-54F7-4C28-ABE3-DDC509A650DB}" keepAlive="1" name="クエリ - テーブル 5 (13)" description="ブック内の 'テーブル 5 (13)' クエリへの接続です。" type="5" refreshedVersion="8" background="1" saveData="1">
    <dbPr connection="Provider=Microsoft.Mashup.OleDb.1;Data Source=$Workbook$;Location=&quot;テーブル 5 (13)&quot;;Extended Properties=&quot;&quot;" command="SELECT * FROM [テーブル 5 (13)]"/>
  </connection>
  <connection id="84" xr16:uid="{9ABB352C-0CCD-4E59-B88E-02E96DE307EE}" keepAlive="1" name="クエリ - テーブル 5 (14)" description="ブック内の 'テーブル 5 (14)' クエリへの接続です。" type="5" refreshedVersion="8" background="1" saveData="1">
    <dbPr connection="Provider=Microsoft.Mashup.OleDb.1;Data Source=$Workbook$;Location=&quot;テーブル 5 (14)&quot;;Extended Properties=&quot;&quot;" command="SELECT * FROM [テーブル 5 (14)]"/>
  </connection>
  <connection id="85" xr16:uid="{9CC89927-069A-4C2A-ADC9-326F77EB1429}" keepAlive="1" name="クエリ - テーブル 5 (15)" description="ブック内の 'テーブル 5 (15)' クエリへの接続です。" type="5" refreshedVersion="0" background="1">
    <dbPr connection="Provider=Microsoft.Mashup.OleDb.1;Data Source=$Workbook$;Location=&quot;テーブル 5 (15)&quot;;Extended Properties=&quot;&quot;" command="SELECT * FROM [テーブル 5 (15)]"/>
  </connection>
  <connection id="86" xr16:uid="{93E48093-F915-4882-BAC3-C964F603F1C7}" keepAlive="1" name="クエリ - テーブル 5 (16)" description="ブック内の 'テーブル 5 (16)' クエリへの接続です。" type="5" refreshedVersion="8" background="1" saveData="1">
    <dbPr connection="Provider=Microsoft.Mashup.OleDb.1;Data Source=$Workbook$;Location=&quot;テーブル 5 (16)&quot;;Extended Properties=&quot;&quot;" command="SELECT * FROM [テーブル 5 (16)]"/>
  </connection>
  <connection id="87" xr16:uid="{B31EBC3B-614B-4885-A0E6-3E57C6664771}" keepAlive="1" name="クエリ - テーブル 5 (17)" description="ブック内の 'テーブル 5 (17)' クエリへの接続です。" type="5" refreshedVersion="8" background="1" saveData="1">
    <dbPr connection="Provider=Microsoft.Mashup.OleDb.1;Data Source=$Workbook$;Location=&quot;テーブル 5 (17)&quot;;Extended Properties=&quot;&quot;" command="SELECT * FROM [テーブル 5 (17)]"/>
  </connection>
  <connection id="88" xr16:uid="{7960DE4F-875B-408F-993F-40DB66B61398}" keepAlive="1" name="クエリ - テーブル 5 (18)" description="ブック内の 'テーブル 5 (18)' クエリへの接続です。" type="5" refreshedVersion="8" background="1" saveData="1">
    <dbPr connection="Provider=Microsoft.Mashup.OleDb.1;Data Source=$Workbook$;Location=&quot;テーブル 5 (18)&quot;;Extended Properties=&quot;&quot;" command="SELECT * FROM [テーブル 5 (18)]"/>
  </connection>
  <connection id="89" xr16:uid="{C8E55768-5433-4125-ADA9-8535EF84ECED}" keepAlive="1" name="クエリ - テーブル 5 (19)" description="ブック内の 'テーブル 5 (19)' クエリへの接続です。" type="5" refreshedVersion="0" background="1">
    <dbPr connection="Provider=Microsoft.Mashup.OleDb.1;Data Source=$Workbook$;Location=&quot;テーブル 5 (19)&quot;;Extended Properties=&quot;&quot;" command="SELECT * FROM [テーブル 5 (19)]"/>
  </connection>
  <connection id="90" xr16:uid="{DF72AB92-0560-4939-B906-6C6A070C3B1D}" keepAlive="1" name="クエリ - テーブル 5 (2)" description="ブック内の 'テーブル 5 (2)' クエリへの接続です。" type="5" refreshedVersion="8" background="1" saveData="1">
    <dbPr connection="Provider=Microsoft.Mashup.OleDb.1;Data Source=$Workbook$;Location=&quot;テーブル 5 (2)&quot;;Extended Properties=&quot;&quot;" command="SELECT * FROM [テーブル 5 (2)]"/>
  </connection>
  <connection id="91" xr16:uid="{79F63E29-B41C-4785-B5C8-39BE2C61A022}" keepAlive="1" name="クエリ - テーブル 5 (20)" description="ブック内の 'テーブル 5 (20)' クエリへの接続です。" type="5" refreshedVersion="8" background="1" saveData="1">
    <dbPr connection="Provider=Microsoft.Mashup.OleDb.1;Data Source=$Workbook$;Location=&quot;テーブル 5 (20)&quot;;Extended Properties=&quot;&quot;" command="SELECT * FROM [テーブル 5 (20)]"/>
  </connection>
  <connection id="92" xr16:uid="{C5F0CE8E-5236-4C12-9938-A5A579A166BD}" keepAlive="1" name="クエリ - テーブル 5 (21)" description="ブック内の 'テーブル 5 (21)' クエリへの接続です。" type="5" refreshedVersion="8" background="1" saveData="1">
    <dbPr connection="Provider=Microsoft.Mashup.OleDb.1;Data Source=$Workbook$;Location=&quot;テーブル 5 (21)&quot;;Extended Properties=&quot;&quot;" command="SELECT * FROM [テーブル 5 (21)]"/>
  </connection>
  <connection id="93" xr16:uid="{A0703D91-F949-43E0-AAEB-CCBE3165516D}" keepAlive="1" name="クエリ - テーブル 5 (22)" description="ブック内の 'テーブル 5 (22)' クエリへの接続です。" type="5" refreshedVersion="8" background="1" saveData="1">
    <dbPr connection="Provider=Microsoft.Mashup.OleDb.1;Data Source=$Workbook$;Location=&quot;テーブル 5 (22)&quot;;Extended Properties=&quot;&quot;" command="SELECT * FROM [テーブル 5 (22)]"/>
  </connection>
  <connection id="94" xr16:uid="{46CD58C3-08F0-4E49-AA61-AB7949C5757F}" keepAlive="1" name="クエリ - テーブル 5 (23)" description="ブック内の 'テーブル 5 (23)' クエリへの接続です。" type="5" refreshedVersion="8" background="1" saveData="1">
    <dbPr connection="Provider=Microsoft.Mashup.OleDb.1;Data Source=$Workbook$;Location=&quot;テーブル 5 (23)&quot;;Extended Properties=&quot;&quot;" command="SELECT * FROM [テーブル 5 (23)]"/>
  </connection>
  <connection id="95" xr16:uid="{6FDBFA2F-ADFC-440E-976E-EB765D94B592}" keepAlive="1" name="クエリ - テーブル 5 (24)" description="ブック内の 'テーブル 5 (24)' クエリへの接続です。" type="5" refreshedVersion="8" background="1" saveData="1">
    <dbPr connection="Provider=Microsoft.Mashup.OleDb.1;Data Source=$Workbook$;Location=&quot;テーブル 5 (24)&quot;;Extended Properties=&quot;&quot;" command="SELECT * FROM [テーブル 5 (24)]"/>
  </connection>
  <connection id="96" xr16:uid="{D94BC252-1638-42E3-A1D3-7C4861AFC728}" keepAlive="1" name="クエリ - テーブル 5 (25)" description="ブック内の 'テーブル 5 (25)' クエリへの接続です。" type="5" refreshedVersion="8" background="1" saveData="1">
    <dbPr connection="Provider=Microsoft.Mashup.OleDb.1;Data Source=$Workbook$;Location=&quot;テーブル 5 (25)&quot;;Extended Properties=&quot;&quot;" command="SELECT * FROM [テーブル 5 (25)]"/>
  </connection>
  <connection id="97" xr16:uid="{13639DD2-86CB-4DA2-8DB0-7B58FC1A2F22}" keepAlive="1" name="クエリ - テーブル 5 (26)" description="ブック内の 'テーブル 5 (26)' クエリへの接続です。" type="5" refreshedVersion="8" background="1" saveData="1">
    <dbPr connection="Provider=Microsoft.Mashup.OleDb.1;Data Source=$Workbook$;Location=&quot;テーブル 5 (26)&quot;;Extended Properties=&quot;&quot;" command="SELECT * FROM [テーブル 5 (26)]"/>
  </connection>
  <connection id="98" xr16:uid="{1203CF8E-8C42-432E-BFC6-53B97B3F0E37}" keepAlive="1" name="クエリ - テーブル 5 (27)" description="ブック内の 'テーブル 5 (27)' クエリへの接続です。" type="5" refreshedVersion="8" background="1" saveData="1">
    <dbPr connection="Provider=Microsoft.Mashup.OleDb.1;Data Source=$Workbook$;Location=&quot;テーブル 5 (27)&quot;;Extended Properties=&quot;&quot;" command="SELECT * FROM [テーブル 5 (27)]"/>
  </connection>
  <connection id="99" xr16:uid="{A16F3CEE-F1A8-48A9-A95E-0B697CBC8247}" keepAlive="1" name="クエリ - テーブル 5 (28)" description="ブック内の 'テーブル 5 (28)' クエリへの接続です。" type="5" refreshedVersion="8" background="1" saveData="1">
    <dbPr connection="Provider=Microsoft.Mashup.OleDb.1;Data Source=$Workbook$;Location=&quot;テーブル 5 (28)&quot;;Extended Properties=&quot;&quot;" command="SELECT * FROM [テーブル 5 (28)]"/>
  </connection>
  <connection id="100" xr16:uid="{B910D808-16D2-4ADB-A270-37C34675767A}" keepAlive="1" name="クエリ - テーブル 5 (29)" description="ブック内の 'テーブル 5 (29)' クエリへの接続です。" type="5" refreshedVersion="8" background="1" saveData="1">
    <dbPr connection="Provider=Microsoft.Mashup.OleDb.1;Data Source=$Workbook$;Location=&quot;テーブル 5 (29)&quot;;Extended Properties=&quot;&quot;" command="SELECT * FROM [テーブル 5 (29)]"/>
  </connection>
  <connection id="101" xr16:uid="{D837CAA7-E833-46E1-810D-98B4937DDDE4}" keepAlive="1" name="クエリ - テーブル 5 (3)" description="ブック内の 'テーブル 5 (3)' クエリへの接続です。" type="5" refreshedVersion="0" background="1">
    <dbPr connection="Provider=Microsoft.Mashup.OleDb.1;Data Source=$Workbook$;Location=&quot;テーブル 5 (3)&quot;;Extended Properties=&quot;&quot;" command="SELECT * FROM [テーブル 5 (3)]"/>
  </connection>
  <connection id="102" xr16:uid="{36BEAD91-F848-4936-AB7D-D6A481BC8093}" keepAlive="1" name="クエリ - テーブル 5 (30)" description="ブック内の 'テーブル 5 (30)' クエリへの接続です。" type="5" refreshedVersion="8" background="1" saveData="1">
    <dbPr connection="Provider=Microsoft.Mashup.OleDb.1;Data Source=$Workbook$;Location=&quot;テーブル 5 (30)&quot;;Extended Properties=&quot;&quot;" command="SELECT * FROM [テーブル 5 (30)]"/>
  </connection>
  <connection id="103" xr16:uid="{74028095-084D-406A-9D5E-39FC61FBC8F0}" keepAlive="1" name="クエリ - テーブル 5 (31)" description="ブック内の 'テーブル 5 (31)' クエリへの接続です。" type="5" refreshedVersion="8" background="1" saveData="1">
    <dbPr connection="Provider=Microsoft.Mashup.OleDb.1;Data Source=$Workbook$;Location=&quot;テーブル 5 (31)&quot;;Extended Properties=&quot;&quot;" command="SELECT * FROM [テーブル 5 (31)]"/>
  </connection>
  <connection id="104" xr16:uid="{BAEA1A37-99AF-4469-B30B-45FBFFC0CC86}" keepAlive="1" name="クエリ - テーブル 5 (32)" description="ブック内の 'テーブル 5 (32)' クエリへの接続です。" type="5" refreshedVersion="8" background="1" saveData="1">
    <dbPr connection="Provider=Microsoft.Mashup.OleDb.1;Data Source=$Workbook$;Location=&quot;テーブル 5 (32)&quot;;Extended Properties=&quot;&quot;" command="SELECT * FROM [テーブル 5 (32)]"/>
  </connection>
  <connection id="105" xr16:uid="{7CCE002F-9BAA-44CB-994B-57B846DA9E21}" keepAlive="1" name="クエリ - テーブル 5 (33)" description="ブック内の 'テーブル 5 (33)' クエリへの接続です。" type="5" refreshedVersion="8" background="1" saveData="1">
    <dbPr connection="Provider=Microsoft.Mashup.OleDb.1;Data Source=$Workbook$;Location=&quot;テーブル 5 (33)&quot;;Extended Properties=&quot;&quot;" command="SELECT * FROM [テーブル 5 (33)]"/>
  </connection>
  <connection id="106" xr16:uid="{6544EA70-0EDD-438B-86F8-77B08B50DE06}" keepAlive="1" name="クエリ - テーブル 5 (34)" description="ブック内の 'テーブル 5 (34)' クエリへの接続です。" type="5" refreshedVersion="8" background="1" saveData="1">
    <dbPr connection="Provider=Microsoft.Mashup.OleDb.1;Data Source=$Workbook$;Location=&quot;テーブル 5 (34)&quot;;Extended Properties=&quot;&quot;" command="SELECT * FROM [テーブル 5 (34)]"/>
  </connection>
  <connection id="107" xr16:uid="{F2FCEC10-3FD7-4126-A895-B61E1FEBB0BB}" keepAlive="1" name="クエリ - テーブル 5 (35)" description="ブック内の 'テーブル 5 (35)' クエリへの接続です。" type="5" refreshedVersion="8" background="1" saveData="1">
    <dbPr connection="Provider=Microsoft.Mashup.OleDb.1;Data Source=$Workbook$;Location=&quot;テーブル 5 (35)&quot;;Extended Properties=&quot;&quot;" command="SELECT * FROM [テーブル 5 (35)]"/>
  </connection>
  <connection id="108" xr16:uid="{7EA25496-C4A6-444D-B133-112FF16EF028}" keepAlive="1" name="クエリ - テーブル 5 (36)" description="ブック内の 'テーブル 5 (36)' クエリへの接続です。" type="5" refreshedVersion="8" background="1" saveData="1">
    <dbPr connection="Provider=Microsoft.Mashup.OleDb.1;Data Source=$Workbook$;Location=&quot;テーブル 5 (36)&quot;;Extended Properties=&quot;&quot;" command="SELECT * FROM [テーブル 5 (36)]"/>
  </connection>
  <connection id="109" xr16:uid="{A31F22B0-CB8E-4530-A9F1-CCB2EE200259}" keepAlive="1" name="クエリ - テーブル 5 (37)" description="ブック内の 'テーブル 5 (37)' クエリへの接続です。" type="5" refreshedVersion="8" background="1" saveData="1">
    <dbPr connection="Provider=Microsoft.Mashup.OleDb.1;Data Source=$Workbook$;Location=&quot;テーブル 5 (37)&quot;;Extended Properties=&quot;&quot;" command="SELECT * FROM [テーブル 5 (37)]"/>
  </connection>
  <connection id="110" xr16:uid="{A5E57733-B48A-4985-B31C-9B6BBF618E08}" keepAlive="1" name="クエリ - テーブル 5 (38)" description="ブック内の 'テーブル 5 (38)' クエリへの接続です。" type="5" refreshedVersion="8" background="1" saveData="1">
    <dbPr connection="Provider=Microsoft.Mashup.OleDb.1;Data Source=$Workbook$;Location=&quot;テーブル 5 (38)&quot;;Extended Properties=&quot;&quot;" command="SELECT * FROM [テーブル 5 (38)]"/>
  </connection>
  <connection id="111" xr16:uid="{54F7DB3E-2D10-46A8-8605-A4B5CD9147C4}" keepAlive="1" name="クエリ - テーブル 5 (39)" description="ブック内の 'テーブル 5 (39)' クエリへの接続です。" type="5" refreshedVersion="8" background="1" saveData="1">
    <dbPr connection="Provider=Microsoft.Mashup.OleDb.1;Data Source=$Workbook$;Location=&quot;テーブル 5 (39)&quot;;Extended Properties=&quot;&quot;" command="SELECT * FROM [テーブル 5 (39)]"/>
  </connection>
  <connection id="112" xr16:uid="{AB12C7AD-25D5-4D0C-B276-24BD37943E4B}" keepAlive="1" name="クエリ - テーブル 5 (4)" description="ブック内の 'テーブル 5 (4)' クエリへの接続です。" type="5" refreshedVersion="8" background="1" saveData="1">
    <dbPr connection="Provider=Microsoft.Mashup.OleDb.1;Data Source=$Workbook$;Location=&quot;テーブル 5 (4)&quot;;Extended Properties=&quot;&quot;" command="SELECT * FROM [テーブル 5 (4)]"/>
  </connection>
  <connection id="113" xr16:uid="{66B53B4B-1358-4775-94DB-3F8C8717C271}" keepAlive="1" name="クエリ - テーブル 5 (40)" description="ブック内の 'テーブル 5 (40)' クエリへの接続です。" type="5" refreshedVersion="8" background="1" saveData="1">
    <dbPr connection="Provider=Microsoft.Mashup.OleDb.1;Data Source=$Workbook$;Location=&quot;テーブル 5 (40)&quot;;Extended Properties=&quot;&quot;" command="SELECT * FROM [テーブル 5 (40)]"/>
  </connection>
  <connection id="114" xr16:uid="{FE8A8A31-47AF-45A0-8FCC-B8275FB8CD7A}" keepAlive="1" name="クエリ - テーブル 5 (41)" description="ブック内の 'テーブル 5 (41)' クエリへの接続です。" type="5" refreshedVersion="8" background="1" saveData="1">
    <dbPr connection="Provider=Microsoft.Mashup.OleDb.1;Data Source=$Workbook$;Location=&quot;テーブル 5 (41)&quot;;Extended Properties=&quot;&quot;" command="SELECT * FROM [テーブル 5 (41)]"/>
  </connection>
  <connection id="115" xr16:uid="{579514D7-861A-4725-94F9-BF6706ACBB0F}" keepAlive="1" name="クエリ - テーブル 5 (42)" description="ブック内の 'テーブル 5 (42)' クエリへの接続です。" type="5" refreshedVersion="8" background="1" saveData="1">
    <dbPr connection="Provider=Microsoft.Mashup.OleDb.1;Data Source=$Workbook$;Location=&quot;テーブル 5 (42)&quot;;Extended Properties=&quot;&quot;" command="SELECT * FROM [テーブル 5 (42)]"/>
  </connection>
  <connection id="116" xr16:uid="{80502BDE-E486-474D-BEE2-A2BC8D82A4E5}" keepAlive="1" name="クエリ - テーブル 5 (43)" description="ブック内の 'テーブル 5 (43)' クエリへの接続です。" type="5" refreshedVersion="8" background="1" saveData="1">
    <dbPr connection="Provider=Microsoft.Mashup.OleDb.1;Data Source=$Workbook$;Location=&quot;テーブル 5 (43)&quot;;Extended Properties=&quot;&quot;" command="SELECT * FROM [テーブル 5 (43)]"/>
  </connection>
  <connection id="117" xr16:uid="{615EFAC7-08F8-41A8-9E2C-4F8FD8C0B0AF}" keepAlive="1" name="クエリ - テーブル 5 (44)" description="ブック内の 'テーブル 5 (44)' クエリへの接続です。" type="5" refreshedVersion="8" background="1" saveData="1">
    <dbPr connection="Provider=Microsoft.Mashup.OleDb.1;Data Source=$Workbook$;Location=&quot;テーブル 5 (44)&quot;;Extended Properties=&quot;&quot;" command="SELECT * FROM [テーブル 5 (44)]"/>
  </connection>
  <connection id="118" xr16:uid="{C305C6DD-5798-4EBD-ADC8-19F8BBA3606D}" keepAlive="1" name="クエリ - テーブル 5 (45)" description="ブック内の 'テーブル 5 (45)' クエリへの接続です。" type="5" refreshedVersion="8" background="1" saveData="1">
    <dbPr connection="Provider=Microsoft.Mashup.OleDb.1;Data Source=$Workbook$;Location=&quot;テーブル 5 (45)&quot;;Extended Properties=&quot;&quot;" command="SELECT * FROM [テーブル 5 (45)]"/>
  </connection>
  <connection id="119" xr16:uid="{3EA631AC-DB01-4DE1-B8E4-8686CE119F6A}" keepAlive="1" name="クエリ - テーブル 5 (46)" description="ブック内の 'テーブル 5 (46)' クエリへの接続です。" type="5" refreshedVersion="8" background="1" saveData="1">
    <dbPr connection="Provider=Microsoft.Mashup.OleDb.1;Data Source=$Workbook$;Location=&quot;テーブル 5 (46)&quot;;Extended Properties=&quot;&quot;" command="SELECT * FROM [テーブル 5 (46)]"/>
  </connection>
  <connection id="120" xr16:uid="{403A85BB-91A5-4963-86C4-BBAB4A28E850}" keepAlive="1" name="クエリ - テーブル 5 (47)" description="ブック内の 'テーブル 5 (47)' クエリへの接続です。" type="5" refreshedVersion="0" background="1">
    <dbPr connection="Provider=Microsoft.Mashup.OleDb.1;Data Source=$Workbook$;Location=&quot;テーブル 5 (47)&quot;;Extended Properties=&quot;&quot;" command="SELECT * FROM [テーブル 5 (47)]"/>
  </connection>
  <connection id="121" xr16:uid="{660E220E-6A38-44EC-B3D0-DA719B2A5AF3}" keepAlive="1" name="クエリ - テーブル 5 (48)" description="ブック内の 'テーブル 5 (48)' クエリへの接続です。" type="5" refreshedVersion="8" background="1" saveData="1">
    <dbPr connection="Provider=Microsoft.Mashup.OleDb.1;Data Source=$Workbook$;Location=&quot;テーブル 5 (48)&quot;;Extended Properties=&quot;&quot;" command="SELECT * FROM [テーブル 5 (48)]"/>
  </connection>
  <connection id="122" xr16:uid="{50DE3435-8F9C-439D-931F-32CDFE206BCB}" keepAlive="1" name="クエリ - テーブル 5 (49)" description="ブック内の 'テーブル 5 (49)' クエリへの接続です。" type="5" refreshedVersion="8" background="1" saveData="1">
    <dbPr connection="Provider=Microsoft.Mashup.OleDb.1;Data Source=$Workbook$;Location=&quot;テーブル 5 (49)&quot;;Extended Properties=&quot;&quot;" command="SELECT * FROM [テーブル 5 (49)]"/>
  </connection>
  <connection id="123" xr16:uid="{1D9DB944-4270-41AA-8EFE-094EF4CEA550}" keepAlive="1" name="クエリ - テーブル 5 (5)" description="ブック内の 'テーブル 5 (5)' クエリへの接続です。" type="5" refreshedVersion="8" background="1" saveData="1">
    <dbPr connection="Provider=Microsoft.Mashup.OleDb.1;Data Source=$Workbook$;Location=&quot;テーブル 5 (5)&quot;;Extended Properties=&quot;&quot;" command="SELECT * FROM [テーブル 5 (5)]"/>
  </connection>
  <connection id="124" xr16:uid="{51680A69-E4C1-4A39-85B7-EFEAFFC9466F}" keepAlive="1" name="クエリ - テーブル 5 (50)" description="ブック内の 'テーブル 5 (50)' クエリへの接続です。" type="5" refreshedVersion="8" background="1" saveData="1">
    <dbPr connection="Provider=Microsoft.Mashup.OleDb.1;Data Source=$Workbook$;Location=&quot;テーブル 5 (50)&quot;;Extended Properties=&quot;&quot;" command="SELECT * FROM [テーブル 5 (50)]"/>
  </connection>
  <connection id="125" xr16:uid="{1D050FEF-9BC3-400B-ABE4-5025A2E1FD88}" keepAlive="1" name="クエリ - テーブル 5 (51)" description="ブック内の 'テーブル 5 (51)' クエリへの接続です。" type="5" refreshedVersion="0" background="1">
    <dbPr connection="Provider=Microsoft.Mashup.OleDb.1;Data Source=$Workbook$;Location=&quot;テーブル 5 (51)&quot;;Extended Properties=&quot;&quot;" command="SELECT * FROM [テーブル 5 (51)]"/>
  </connection>
  <connection id="126" xr16:uid="{04E1DE2C-0F8B-4AA2-B40B-1A5D370B5011}" keepAlive="1" name="クエリ - テーブル 5 (52)" description="ブック内の 'テーブル 5 (52)' クエリへの接続です。" type="5" refreshedVersion="8" background="1" saveData="1">
    <dbPr connection="Provider=Microsoft.Mashup.OleDb.1;Data Source=$Workbook$;Location=&quot;テーブル 5 (52)&quot;;Extended Properties=&quot;&quot;" command="SELECT * FROM [テーブル 5 (52)]"/>
  </connection>
  <connection id="127" xr16:uid="{7A11FE41-E253-43BC-8A00-1C400CA377D1}" keepAlive="1" name="クエリ - テーブル 5 (53)" description="ブック内の 'テーブル 5 (53)' クエリへの接続です。" type="5" refreshedVersion="8" background="1" saveData="1">
    <dbPr connection="Provider=Microsoft.Mashup.OleDb.1;Data Source=$Workbook$;Location=&quot;テーブル 5 (53)&quot;;Extended Properties=&quot;&quot;" command="SELECT * FROM [テーブル 5 (53)]"/>
  </connection>
  <connection id="128" xr16:uid="{5EC92980-5492-4A89-A4A8-9801BC14492C}" keepAlive="1" name="クエリ - テーブル 5 (54)" description="ブック内の 'テーブル 5 (54)' クエリへの接続です。" type="5" refreshedVersion="8" background="1" saveData="1">
    <dbPr connection="Provider=Microsoft.Mashup.OleDb.1;Data Source=$Workbook$;Location=&quot;テーブル 5 (54)&quot;;Extended Properties=&quot;&quot;" command="SELECT * FROM [テーブル 5 (54)]"/>
  </connection>
  <connection id="129" xr16:uid="{4D402CCC-83C9-406F-8C34-4F775E1168DA}" keepAlive="1" name="クエリ - テーブル 5 (55)" description="ブック内の 'テーブル 5 (55)' クエリへの接続です。" type="5" refreshedVersion="8" background="1" saveData="1">
    <dbPr connection="Provider=Microsoft.Mashup.OleDb.1;Data Source=$Workbook$;Location=&quot;テーブル 5 (55)&quot;;Extended Properties=&quot;&quot;" command="SELECT * FROM [テーブル 5 (55)]"/>
  </connection>
  <connection id="130" xr16:uid="{A783859C-FF36-4DD0-8551-D4BB737E4F61}" keepAlive="1" name="クエリ - テーブル 5 (56)" description="ブック内の 'テーブル 5 (56)' クエリへの接続です。" type="5" refreshedVersion="8" background="1" saveData="1">
    <dbPr connection="Provider=Microsoft.Mashup.OleDb.1;Data Source=$Workbook$;Location=&quot;テーブル 5 (56)&quot;;Extended Properties=&quot;&quot;" command="SELECT * FROM [テーブル 5 (56)]"/>
  </connection>
  <connection id="131" xr16:uid="{15E76B00-9305-4741-A2AB-01B6330EAAF2}" keepAlive="1" name="クエリ - テーブル 5 (57)" description="ブック内の 'テーブル 5 (57)' クエリへの接続です。" type="5" refreshedVersion="8" background="1" saveData="1">
    <dbPr connection="Provider=Microsoft.Mashup.OleDb.1;Data Source=$Workbook$;Location=&quot;テーブル 5 (57)&quot;;Extended Properties=&quot;&quot;" command="SELECT * FROM [テーブル 5 (57)]"/>
  </connection>
  <connection id="132" xr16:uid="{F34C8D89-6520-4A3D-9DCC-92CF29A2D2A6}" keepAlive="1" name="クエリ - テーブル 5 (58)" description="ブック内の 'テーブル 5 (58)' クエリへの接続です。" type="5" refreshedVersion="8" background="1" saveData="1">
    <dbPr connection="Provider=Microsoft.Mashup.OleDb.1;Data Source=$Workbook$;Location=&quot;テーブル 5 (58)&quot;;Extended Properties=&quot;&quot;" command="SELECT * FROM [テーブル 5 (58)]"/>
  </connection>
  <connection id="133" xr16:uid="{C132A259-7308-4540-B0B9-8234599F5E7B}" keepAlive="1" name="クエリ - テーブル 5 (6)" description="ブック内の 'テーブル 5 (6)' クエリへの接続です。" type="5" refreshedVersion="8" background="1" saveData="1">
    <dbPr connection="Provider=Microsoft.Mashup.OleDb.1;Data Source=$Workbook$;Location=&quot;テーブル 5 (6)&quot;;Extended Properties=&quot;&quot;" command="SELECT * FROM [テーブル 5 (6)]"/>
  </connection>
  <connection id="134" xr16:uid="{00608C06-2B00-4F10-97AD-CDE3B794B7CB}" keepAlive="1" name="クエリ - テーブル 5 (7)" description="ブック内の 'テーブル 5 (7)' クエリへの接続です。" type="5" refreshedVersion="0" background="1">
    <dbPr connection="Provider=Microsoft.Mashup.OleDb.1;Data Source=$Workbook$;Location=&quot;テーブル 5 (7)&quot;;Extended Properties=&quot;&quot;" command="SELECT * FROM [テーブル 5 (7)]"/>
  </connection>
  <connection id="135" xr16:uid="{C5162D1F-3C13-47F3-99A8-D69F0D404C31}" keepAlive="1" name="クエリ - テーブル 5 (8)" description="ブック内の 'テーブル 5 (8)' クエリへの接続です。" type="5" refreshedVersion="8" background="1" saveData="1">
    <dbPr connection="Provider=Microsoft.Mashup.OleDb.1;Data Source=$Workbook$;Location=&quot;テーブル 5 (8)&quot;;Extended Properties=&quot;&quot;" command="SELECT * FROM [テーブル 5 (8)]"/>
  </connection>
  <connection id="136" xr16:uid="{2F76004B-5DDB-4D95-A2BA-56750AE269FA}" keepAlive="1" name="クエリ - テーブル 5 (9)" description="ブック内の 'テーブル 5 (9)' クエリへの接続です。" type="5" refreshedVersion="8" background="1" saveData="1">
    <dbPr connection="Provider=Microsoft.Mashup.OleDb.1;Data Source=$Workbook$;Location=&quot;テーブル 5 (9)&quot;;Extended Properties=&quot;&quot;" command="SELECT * FROM [テーブル 5 (9)]"/>
  </connection>
</connections>
</file>

<file path=xl/sharedStrings.xml><?xml version="1.0" encoding="utf-8"?>
<sst xmlns="http://schemas.openxmlformats.org/spreadsheetml/2006/main" count="264" uniqueCount="45">
  <si>
    <t>|</t>
    <phoneticPr fontId="1"/>
  </si>
  <si>
    <t xml:space="preserve"> --- </t>
    <phoneticPr fontId="1"/>
  </si>
  <si>
    <t xml:space="preserve"> ----- </t>
    <phoneticPr fontId="1"/>
  </si>
  <si>
    <t>Composer</t>
  </si>
  <si>
    <t>Title</t>
  </si>
  <si>
    <t>Time</t>
  </si>
  <si>
    <t>Performer</t>
  </si>
  <si>
    <t>No.</t>
  </si>
  <si>
    <t>I LUV IT</t>
  </si>
  <si>
    <t>Beninu Abolemiau, Camila Cabello, Jasper Harris, El Guincho, Playboi Carti,
                  Gucci Mane, Bangladesh, Howard Kaylan, Mark Volman, Rihanna</t>
  </si>
  <si>
    <t>Camila Cabello feat. Playboi Carti</t>
  </si>
  <si>
    <t>Chanel No. 5</t>
  </si>
  <si>
    <t>Camila Cabello, El Guincho, Jasper Harris, Carlos Dashawn Moore, Southside,
                  Future</t>
  </si>
  <si>
    <t>Camila Cabello</t>
  </si>
  <si>
    <t>pink xoxo</t>
  </si>
  <si>
    <t>Camila Cabello, PinkPantheress, Jasper Harris, El Guincho</t>
  </si>
  <si>
    <t>HE KNOWS</t>
  </si>
  <si>
    <t>Camila Cabello, El Guincho, Jasper Harris, Daniel Aged, Lil Nas X, Ojerime</t>
  </si>
  <si>
    <t>Camila Cabello feat. Lil Nas X</t>
  </si>
  <si>
    <t>Twentysomethings</t>
  </si>
  <si>
    <t>El Guincho, Camila Cabello, Aaron Shadrow ,Jasper Harris</t>
  </si>
  <si>
    <t>Dade County Dreaming</t>
  </si>
  <si>
    <t>Camila Cabello, Yung Miami, Jasper Harris, JT, Lasana Smith, Trinidad James,
                  El Guincho, Salvador Majail</t>
  </si>
  <si>
    <t>Camila Cabello feat. Young Miami, JT</t>
  </si>
  <si>
    <t>koshi xoxo</t>
  </si>
  <si>
    <t>BLP KOSHER, Yanacona, Jasper Harris, Camila Cabello, El Guincho</t>
  </si>
  <si>
    <t>Camila Cabello feat. BLP KOSHER</t>
  </si>
  <si>
    <t>HOT UPTOWN</t>
  </si>
  <si>
    <t>Camila Cabello, Drake, YogiTheProducer, El Guincho, Jasper Harris</t>
  </si>
  <si>
    <t>Uuugly</t>
  </si>
  <si>
    <t>Drake</t>
  </si>
  <si>
    <t>DREAM-GIRLS</t>
  </si>
  <si>
    <t>Jasper Harris, El Guincho, The-Dream, Los Da Mystro, Camila Cabello, Hidde</t>
  </si>
  <si>
    <t>305tilidie</t>
  </si>
  <si>
    <t>El Guincho, Jasper Harris, Camila Cabello</t>
  </si>
  <si>
    <t>B.O.A.T.</t>
  </si>
  <si>
    <t>Daniel Aged, Jasper Harris, El Guincho, Pitbull, Bernard Edwards, Daniel
                  McKay, Graham Wilson, Hugh Brankin, John Reid, Nile Rodgers, Ray Davies,
                  Ross Campbell</t>
  </si>
  <si>
    <t>pretty when i cry</t>
  </si>
  <si>
    <t>Aaron Shadrow, El Guincho, Jasper Harris, Camila Cabello</t>
  </si>
  <si>
    <t>June Gloom</t>
  </si>
  <si>
    <t>Camila Cabello, Jasper Harris, Zac, Finatik, El Guincho</t>
  </si>
  <si>
    <t>Beninu Abolemiau, Camila Cabello, Jasper Harris, El Guincho, Playboi Carti,                  Gucci Mane, Bangladesh, Howard Kaylan, Mark Volman, Rihanna</t>
    <phoneticPr fontId="1"/>
  </si>
  <si>
    <t>Camila Cabello, El Guincho, Jasper Harris, Carlos Dashawn Moore, Southside,                  Future</t>
    <phoneticPr fontId="1"/>
  </si>
  <si>
    <t>Camila Cabello, Yung Miami, Jasper Harris, JT, Lasana Smith, Trinidad James,                  El Guincho, Salvador Majail</t>
    <phoneticPr fontId="1"/>
  </si>
  <si>
    <t>Daniel Aged, Jasper Harris, El Guincho, Pitbull, Bernard Edwards, Daniel                  McKay, Graham Wilson, Hugh Brankin, John Reid, Nile Rodgers, Ray Davies,                  Ross Campbell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</si>
</sst>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h:mm;@"/>
    <numFmt numFmtId="177" formatCode="[$-F400]h:mm:ss\ AM/PM"/>
  </numFmts>
  <fonts count="3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Arial Unicode M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2" fillId="0" borderId="0" xfId="0" applyFont="1">
      <alignment vertical="center"/>
    </xf>
    <xf numFmtId="176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49" fontId="0" fillId="0" borderId="0" xfId="0" applyNumberFormat="1">
      <alignment vertical="center"/>
    </xf>
    <xf numFmtId="177" fontId="0" fillId="0" borderId="0" xfId="0" applyNumberFormat="1">
      <alignment vertical="center"/>
    </xf>
    <xf numFmtId="0" fontId="0" fillId="0" borderId="0" xfId="0" applyNumberFormat="1">
      <alignment vertical="center"/>
    </xf>
    <xf numFmtId="0" fontId="0" fillId="0" borderId="0" xfId="0" applyNumberFormat="1" applyAlignment="1">
      <alignment vertical="center" wrapText="1"/>
    </xf>
  </cellXfs>
  <cellStyles count="1">
    <cellStyle name="標準" xfId="0" builtinId="0"/>
  </cellStyles>
  <dxfs count="8">
    <dxf>
      <numFmt numFmtId="177" formatCode="[$-F400]h:mm:ss\ AM/PM"/>
    </dxf>
    <dxf>
      <numFmt numFmtId="0" formatCode="General"/>
    </dxf>
    <dxf>
      <numFmt numFmtId="0" formatCode="General"/>
    </dxf>
    <dxf>
      <numFmt numFmtId="0" formatCode="General"/>
    </dxf>
    <dxf>
      <numFmt numFmtId="177" formatCode="[$-F400]h:mm:ss\ AM/PM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32" xr16:uid="{41B33915-7830-4BBE-8DF0-62A2C5107478}" autoFormatId="20" applyNumberFormats="0" applyBorderFormats="0" applyFontFormats="0" applyPatternFormats="0" applyAlignmentFormats="0" applyWidthHeightFormats="0">
  <queryTableRefresh nextId="6">
    <queryTableFields count="5">
      <queryTableField id="1" name="No." tableColumnId="1"/>
      <queryTableField id="2" name="Title" tableColumnId="2"/>
      <queryTableField id="3" name="Composer" tableColumnId="3"/>
      <queryTableField id="4" name="Performer" tableColumnId="4"/>
      <queryTableField id="5" name="Time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1" xr16:uid="{1C5E447D-3BAD-48D1-AF17-42241F2B18B1}" autoFormatId="20" applyNumberFormats="0" applyBorderFormats="0" applyFontFormats="0" applyPatternFormats="0" applyAlignmentFormats="0" applyWidthHeightFormats="0">
  <queryTableRefresh nextId="6">
    <queryTableFields count="5">
      <queryTableField id="1" name="No." tableColumnId="1"/>
      <queryTableField id="2" name="Title" tableColumnId="2"/>
      <queryTableField id="3" name="Composer" tableColumnId="3"/>
      <queryTableField id="4" name="Performer" tableColumnId="4"/>
      <queryTableField id="5" name="Time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568AA20-C55F-4E54-828B-2C0F4C65CB5A}" name="テーブル_5__573" displayName="テーブル_5__573" ref="A1:E15" tableType="queryTable" totalsRowShown="0">
  <autoFilter ref="A1:E15" xr:uid="{9568AA20-C55F-4E54-828B-2C0F4C65CB5A}"/>
  <tableColumns count="5">
    <tableColumn id="1" xr3:uid="{A5027011-0F23-45A5-A642-32DD474B597E}" uniqueName="1" name="No." queryTableFieldId="1"/>
    <tableColumn id="2" xr3:uid="{A60D9715-DBBA-4650-84CC-8C015B41AE50}" uniqueName="2" name="Title" queryTableFieldId="2" dataDxfId="3"/>
    <tableColumn id="3" xr3:uid="{B1C7DCDE-BF94-42B1-ADAD-FBF2FFF83298}" uniqueName="3" name="Composer" queryTableFieldId="3" dataDxfId="2"/>
    <tableColumn id="4" xr3:uid="{DA166FD3-72E4-4F41-A46E-6B76275B4E80}" uniqueName="4" name="Performer" queryTableFieldId="4" dataDxfId="1"/>
    <tableColumn id="5" xr3:uid="{993738FD-0811-4CD0-92AF-A3E1D8E521D1}" uniqueName="5" name="Time" queryTableFieldId="5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C2B887-D626-46D9-9EEB-4DFD1D23C6DD}" name="テーブル_5__57" displayName="テーブル_5__57" ref="A1:E15" tableType="queryTable" totalsRowShown="0">
  <autoFilter ref="A1:E15" xr:uid="{C2C2B887-D626-46D9-9EEB-4DFD1D23C6DD}"/>
  <tableColumns count="5">
    <tableColumn id="1" xr3:uid="{8DE00B32-F211-4A50-A087-214C7AEA5BC2}" uniqueName="1" name="No." queryTableFieldId="1"/>
    <tableColumn id="2" xr3:uid="{A5ACB745-BA34-4727-B90C-C779F1B86D98}" uniqueName="2" name="Title" queryTableFieldId="2" dataDxfId="7"/>
    <tableColumn id="3" xr3:uid="{49B67D92-98CD-42F8-915A-056648DF853D}" uniqueName="3" name="Composer" queryTableFieldId="3" dataDxfId="6"/>
    <tableColumn id="4" xr3:uid="{B70ABF15-D1AB-4D60-A67C-EA9C9E908686}" uniqueName="4" name="Performer" queryTableFieldId="4" dataDxfId="5"/>
    <tableColumn id="5" xr3:uid="{DD7500F6-85B1-46FA-8BF2-28BBB32AFB40}" uniqueName="5" name="Time" queryTableFieldId="5" dataDxf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5"/>
  <sheetViews>
    <sheetView workbookViewId="0">
      <selection activeCell="C13" sqref="C13"/>
    </sheetView>
  </sheetViews>
  <sheetFormatPr defaultRowHeight="19.5"/>
  <cols>
    <col min="1" max="1" width="6.21875" bestFit="1" customWidth="1"/>
    <col min="2" max="2" width="21.77734375" bestFit="1" customWidth="1"/>
    <col min="3" max="3" width="80.88671875" bestFit="1" customWidth="1"/>
    <col min="4" max="4" width="34.44140625" bestFit="1" customWidth="1"/>
    <col min="5" max="5" width="7.77734375" bestFit="1" customWidth="1"/>
  </cols>
  <sheetData>
    <row r="1" spans="1:5">
      <c r="A1" t="s">
        <v>7</v>
      </c>
      <c r="B1" t="s">
        <v>4</v>
      </c>
      <c r="C1" t="s">
        <v>3</v>
      </c>
      <c r="D1" t="s">
        <v>6</v>
      </c>
      <c r="E1" t="s">
        <v>5</v>
      </c>
    </row>
    <row r="2" spans="1:5">
      <c r="A2">
        <v>1</v>
      </c>
      <c r="B2" s="6" t="s">
        <v>8</v>
      </c>
      <c r="C2" s="6" t="s">
        <v>41</v>
      </c>
      <c r="D2" s="6" t="s">
        <v>10</v>
      </c>
      <c r="E2" s="5">
        <v>0.12083333333333333</v>
      </c>
    </row>
    <row r="3" spans="1:5">
      <c r="A3">
        <v>2</v>
      </c>
      <c r="B3" s="6" t="s">
        <v>11</v>
      </c>
      <c r="C3" s="6" t="s">
        <v>42</v>
      </c>
      <c r="D3" s="6" t="s">
        <v>13</v>
      </c>
      <c r="E3" s="5">
        <v>0.1111111111111111</v>
      </c>
    </row>
    <row r="4" spans="1:5">
      <c r="A4">
        <v>3</v>
      </c>
      <c r="B4" s="6" t="s">
        <v>14</v>
      </c>
      <c r="C4" s="6" t="s">
        <v>15</v>
      </c>
      <c r="D4" s="6" t="s">
        <v>13</v>
      </c>
      <c r="E4" s="5">
        <v>3.8194444444444448E-2</v>
      </c>
    </row>
    <row r="5" spans="1:5">
      <c r="A5">
        <v>4</v>
      </c>
      <c r="B5" s="6" t="s">
        <v>16</v>
      </c>
      <c r="C5" s="6" t="s">
        <v>17</v>
      </c>
      <c r="D5" s="6" t="s">
        <v>18</v>
      </c>
      <c r="E5" s="5">
        <v>0.12569444444444444</v>
      </c>
    </row>
    <row r="6" spans="1:5">
      <c r="A6">
        <v>5</v>
      </c>
      <c r="B6" s="6" t="s">
        <v>19</v>
      </c>
      <c r="C6" s="6" t="s">
        <v>20</v>
      </c>
      <c r="D6" s="6" t="s">
        <v>13</v>
      </c>
      <c r="E6" s="5">
        <v>0.1125</v>
      </c>
    </row>
    <row r="7" spans="1:5">
      <c r="A7">
        <v>6</v>
      </c>
      <c r="B7" s="6" t="s">
        <v>21</v>
      </c>
      <c r="C7" s="6" t="s">
        <v>43</v>
      </c>
      <c r="D7" s="6" t="s">
        <v>23</v>
      </c>
      <c r="E7" s="5">
        <v>0.11041666666666666</v>
      </c>
    </row>
    <row r="8" spans="1:5">
      <c r="A8">
        <v>7</v>
      </c>
      <c r="B8" s="6" t="s">
        <v>24</v>
      </c>
      <c r="C8" s="6" t="s">
        <v>25</v>
      </c>
      <c r="D8" s="6" t="s">
        <v>26</v>
      </c>
      <c r="E8" s="5">
        <v>3.1944444444444442E-2</v>
      </c>
    </row>
    <row r="9" spans="1:5">
      <c r="A9">
        <v>8</v>
      </c>
      <c r="B9" s="6" t="s">
        <v>27</v>
      </c>
      <c r="C9" s="6" t="s">
        <v>28</v>
      </c>
      <c r="D9" s="6" t="s">
        <v>13</v>
      </c>
      <c r="E9" s="5">
        <v>0.10416666666666667</v>
      </c>
    </row>
    <row r="10" spans="1:5">
      <c r="A10">
        <v>9</v>
      </c>
      <c r="B10" s="6" t="s">
        <v>29</v>
      </c>
      <c r="C10" s="6" t="s">
        <v>30</v>
      </c>
      <c r="D10" s="6" t="s">
        <v>13</v>
      </c>
      <c r="E10" s="5">
        <v>7.9861111111111105E-2</v>
      </c>
    </row>
    <row r="11" spans="1:5">
      <c r="A11">
        <v>10</v>
      </c>
      <c r="B11" s="6" t="s">
        <v>31</v>
      </c>
      <c r="C11" s="6" t="s">
        <v>32</v>
      </c>
      <c r="D11" s="6" t="s">
        <v>13</v>
      </c>
      <c r="E11" s="5">
        <v>0.11874999999999999</v>
      </c>
    </row>
    <row r="12" spans="1:5">
      <c r="A12">
        <v>11</v>
      </c>
      <c r="B12" s="6" t="s">
        <v>33</v>
      </c>
      <c r="C12" s="6" t="s">
        <v>34</v>
      </c>
      <c r="D12" s="6" t="s">
        <v>13</v>
      </c>
      <c r="E12" s="5">
        <v>3.4027777777777775E-2</v>
      </c>
    </row>
    <row r="13" spans="1:5" ht="39">
      <c r="A13">
        <v>12</v>
      </c>
      <c r="B13" s="6" t="s">
        <v>35</v>
      </c>
      <c r="C13" s="7" t="s">
        <v>44</v>
      </c>
      <c r="D13" s="6" t="s">
        <v>13</v>
      </c>
      <c r="E13" s="5">
        <v>0.12222222222222222</v>
      </c>
    </row>
    <row r="14" spans="1:5">
      <c r="A14">
        <v>13</v>
      </c>
      <c r="B14" s="6" t="s">
        <v>37</v>
      </c>
      <c r="C14" s="6" t="s">
        <v>38</v>
      </c>
      <c r="D14" s="6" t="s">
        <v>13</v>
      </c>
      <c r="E14" s="5">
        <v>0.10694444444444444</v>
      </c>
    </row>
    <row r="15" spans="1:5">
      <c r="A15">
        <v>14</v>
      </c>
      <c r="B15" s="6" t="s">
        <v>39</v>
      </c>
      <c r="C15" s="6" t="s">
        <v>40</v>
      </c>
      <c r="D15" s="6" t="s">
        <v>13</v>
      </c>
      <c r="E15" s="5">
        <v>0.125</v>
      </c>
    </row>
  </sheetData>
  <phoneticPr fontId="1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K30"/>
  <sheetViews>
    <sheetView tabSelected="1" workbookViewId="0">
      <selection activeCell="K18" sqref="A3:K18"/>
    </sheetView>
  </sheetViews>
  <sheetFormatPr defaultColWidth="11.5546875" defaultRowHeight="19.5"/>
  <cols>
    <col min="1" max="1" width="4.21875" customWidth="1"/>
    <col min="3" max="3" width="3.88671875" style="3" customWidth="1"/>
    <col min="4" max="4" width="21.109375" customWidth="1"/>
    <col min="5" max="5" width="4" style="3" customWidth="1"/>
    <col min="6" max="6" width="119.21875" bestFit="1" customWidth="1"/>
    <col min="7" max="7" width="4.44140625" style="3" customWidth="1"/>
    <col min="8" max="8" width="21.77734375" customWidth="1"/>
    <col min="9" max="9" width="4.33203125" style="3" customWidth="1"/>
    <col min="10" max="10" width="8.44140625" customWidth="1"/>
    <col min="11" max="11" width="3.44140625" style="3" customWidth="1"/>
  </cols>
  <sheetData>
    <row r="2" spans="1:11">
      <c r="D2" s="1">
        <f t="array" ref="D2">MAX(LENB(Sheet1!B1:'Sheet1'!B30))</f>
        <v>20</v>
      </c>
      <c r="F2" s="1">
        <f t="array" ref="F2">MAX(LENB(Sheet1!C1:'Sheet1'!C30))</f>
        <v>193</v>
      </c>
      <c r="H2" s="1">
        <f t="array" ref="H2">MAX(LENB(Sheet1!D1:'Sheet1'!D30))</f>
        <v>36</v>
      </c>
      <c r="J2" s="1">
        <f>7</f>
        <v>7</v>
      </c>
    </row>
    <row r="3" spans="1:11">
      <c r="A3" t="s">
        <v>0</v>
      </c>
      <c r="B3" t="str">
        <f>" "&amp;"No."&amp;" "</f>
        <v xml:space="preserve"> No. </v>
      </c>
      <c r="C3" s="3" t="s">
        <v>0</v>
      </c>
      <c r="D3" t="str">
        <f>" "&amp;LEFTB("Title"&amp;REPT(" ",$D$2),$D$2)</f>
        <v xml:space="preserve"> Title               </v>
      </c>
      <c r="E3" s="3" t="s">
        <v>0</v>
      </c>
      <c r="F3" t="str">
        <f>" "&amp;LEFTB("Composers"&amp;REPT(" ",$F$2-1),$F$2-1)</f>
        <v xml:space="preserve"> Composers                                                                                                                                                                                       </v>
      </c>
      <c r="G3" s="3" t="s">
        <v>0</v>
      </c>
      <c r="H3" t="str">
        <f>" "&amp;LEFTB("Performer"&amp;REPT(" ",$H$2),$H$2)</f>
        <v xml:space="preserve"> Performer                           </v>
      </c>
      <c r="I3" s="3" t="s">
        <v>0</v>
      </c>
      <c r="J3" t="str">
        <f>" "&amp;"Time"</f>
        <v xml:space="preserve"> Time</v>
      </c>
      <c r="K3" s="3" t="s">
        <v>0</v>
      </c>
    </row>
    <row r="4" spans="1:11">
      <c r="A4" t="s">
        <v>0</v>
      </c>
      <c r="B4" t="s">
        <v>1</v>
      </c>
      <c r="C4" s="3" t="s">
        <v>0</v>
      </c>
      <c r="D4" t="str">
        <f>REPT("-",$D$2)&amp;" "</f>
        <v xml:space="preserve">-------------------- </v>
      </c>
      <c r="E4" s="3" t="s">
        <v>0</v>
      </c>
      <c r="F4" t="str">
        <f>" "&amp;REPT("-",$F$2)&amp;" "</f>
        <v xml:space="preserve"> ------------------------------------------------------------------------------------------------------------------------------------------------------------------------------------------------- </v>
      </c>
      <c r="G4" s="3" t="s">
        <v>0</v>
      </c>
      <c r="H4" t="str">
        <f>" "&amp;REPT("-",$H$2)&amp;" "</f>
        <v xml:space="preserve"> ------------------------------------ </v>
      </c>
      <c r="I4" s="3" t="s">
        <v>0</v>
      </c>
      <c r="J4" t="s">
        <v>2</v>
      </c>
      <c r="K4" s="3" t="s">
        <v>0</v>
      </c>
    </row>
    <row r="5" spans="1:11">
      <c r="A5" t="s">
        <v>0</v>
      </c>
      <c r="B5">
        <f>Sheet1!A2</f>
        <v>1</v>
      </c>
      <c r="C5" s="3" t="s">
        <v>0</v>
      </c>
      <c r="D5" s="4" t="str">
        <f>LEFTB(Sheet1!B2&amp;REPT(" ",$D$2),$D$2)</f>
        <v xml:space="preserve">I LUV IT            </v>
      </c>
      <c r="E5" s="3" t="s">
        <v>0</v>
      </c>
      <c r="F5" t="str">
        <f>" "&amp;LEFTB(Sheet1!C2&amp;REPT(" ",$F$2),$F$2)</f>
        <v xml:space="preserve"> Beninu Abolemiau, Camila Cabello, Jasper Harris, El Guincho, Playboi Carti,                  Gucci Mane, Bangladesh, Howard Kaylan, Mark Volman, Rihanna                                         </v>
      </c>
      <c r="G5" s="3" t="s">
        <v>0</v>
      </c>
      <c r="H5" t="str">
        <f>LEFTB(Sheet1!D2&amp;REPT(" ",$H$2),$H$2)</f>
        <v xml:space="preserve">Camila Cabello feat. Playboi Carti  </v>
      </c>
      <c r="I5" s="3" t="s">
        <v>0</v>
      </c>
      <c r="J5" s="2" t="str">
        <f>TEXT(Sheet1!E2,"HH:MM")&amp;" "</f>
        <v xml:space="preserve">02:54 </v>
      </c>
      <c r="K5" s="3" t="s">
        <v>0</v>
      </c>
    </row>
    <row r="6" spans="1:11">
      <c r="A6" t="s">
        <v>0</v>
      </c>
      <c r="B6">
        <f>Sheet1!A3</f>
        <v>2</v>
      </c>
      <c r="C6" s="3" t="s">
        <v>0</v>
      </c>
      <c r="D6" s="4" t="str">
        <f>LEFTB(Sheet1!B3&amp;REPT(" ",$D$2),$D$2)</f>
        <v xml:space="preserve">Chanel No. 5        </v>
      </c>
      <c r="E6" s="3" t="s">
        <v>0</v>
      </c>
      <c r="F6" t="str">
        <f>" "&amp;LEFTB(Sheet1!C3&amp;REPT(" ",$F$2),$F$2)</f>
        <v xml:space="preserve"> Camila Cabello, El Guincho, Jasper Harris, Carlos Dashawn Moore, Southside,                  Future                                                                                              </v>
      </c>
      <c r="G6" s="3" t="s">
        <v>0</v>
      </c>
      <c r="H6" t="str">
        <f>LEFTB(Sheet1!D3&amp;REPT(" ",$H$2),$H$2)</f>
        <v xml:space="preserve">Camila Cabello                      </v>
      </c>
      <c r="I6" s="3" t="s">
        <v>0</v>
      </c>
      <c r="J6" s="2" t="str">
        <f>TEXT(Sheet1!E3,"HH:MM")&amp;" "</f>
        <v xml:space="preserve">02:40 </v>
      </c>
      <c r="K6" s="3" t="s">
        <v>0</v>
      </c>
    </row>
    <row r="7" spans="1:11">
      <c r="A7" t="s">
        <v>0</v>
      </c>
      <c r="B7">
        <f>Sheet1!A4</f>
        <v>3</v>
      </c>
      <c r="C7" s="3" t="s">
        <v>0</v>
      </c>
      <c r="D7" s="4" t="str">
        <f>LEFTB(Sheet1!B4&amp;REPT(" ",$D$2),$D$2)</f>
        <v xml:space="preserve">pink xoxo           </v>
      </c>
      <c r="E7" s="3" t="s">
        <v>0</v>
      </c>
      <c r="F7" t="str">
        <f>" "&amp;LEFTB(Sheet1!C4&amp;REPT(" ",$F$2),$F$2)</f>
        <v xml:space="preserve"> Camila Cabello, PinkPantheress, Jasper Harris, El Guincho                                                                                                                                        </v>
      </c>
      <c r="G7" s="3" t="s">
        <v>0</v>
      </c>
      <c r="H7" t="str">
        <f>LEFTB(Sheet1!D4&amp;REPT(" ",$H$2),$H$2)</f>
        <v xml:space="preserve">Camila Cabello                      </v>
      </c>
      <c r="I7" s="3" t="s">
        <v>0</v>
      </c>
      <c r="J7" s="2" t="str">
        <f>TEXT(Sheet1!E4,"HH:MM")&amp;" "</f>
        <v xml:space="preserve">00:55 </v>
      </c>
      <c r="K7" s="3" t="s">
        <v>0</v>
      </c>
    </row>
    <row r="8" spans="1:11">
      <c r="A8" t="s">
        <v>0</v>
      </c>
      <c r="B8">
        <f>Sheet1!A5</f>
        <v>4</v>
      </c>
      <c r="C8" s="3" t="s">
        <v>0</v>
      </c>
      <c r="D8" s="4" t="str">
        <f>LEFTB(Sheet1!B5&amp;REPT(" ",$D$2),$D$2)</f>
        <v xml:space="preserve">HE KNOWS            </v>
      </c>
      <c r="E8" s="3" t="s">
        <v>0</v>
      </c>
      <c r="F8" t="str">
        <f>" "&amp;LEFTB(Sheet1!C5&amp;REPT(" ",$F$2),$F$2)</f>
        <v xml:space="preserve"> Camila Cabello, El Guincho, Jasper Harris, Daniel Aged, Lil Nas X, Ojerime                                                                                                                       </v>
      </c>
      <c r="G8" s="3" t="s">
        <v>0</v>
      </c>
      <c r="H8" t="str">
        <f>LEFTB(Sheet1!D5&amp;REPT(" ",$H$2),$H$2)</f>
        <v xml:space="preserve">Camila Cabello feat. Lil Nas X      </v>
      </c>
      <c r="I8" s="3" t="s">
        <v>0</v>
      </c>
      <c r="J8" s="2" t="str">
        <f>TEXT(Sheet1!E5,"HH:MM")&amp;" "</f>
        <v xml:space="preserve">03:01 </v>
      </c>
      <c r="K8" s="3" t="s">
        <v>0</v>
      </c>
    </row>
    <row r="9" spans="1:11">
      <c r="A9" t="s">
        <v>0</v>
      </c>
      <c r="B9">
        <f>Sheet1!A6</f>
        <v>5</v>
      </c>
      <c r="C9" s="3" t="s">
        <v>0</v>
      </c>
      <c r="D9" s="4" t="str">
        <f>LEFTB(Sheet1!B6&amp;REPT(" ",$D$2),$D$2)</f>
        <v xml:space="preserve">Twentysomethings    </v>
      </c>
      <c r="E9" s="3" t="s">
        <v>0</v>
      </c>
      <c r="F9" t="str">
        <f>" "&amp;LEFTB(Sheet1!C6&amp;REPT(" ",$F$2),$F$2)</f>
        <v xml:space="preserve"> El Guincho, Camila Cabello, Aaron Shadrow ,Jasper Harris                                                                                                                                         </v>
      </c>
      <c r="G9" s="3" t="s">
        <v>0</v>
      </c>
      <c r="H9" t="str">
        <f>LEFTB(Sheet1!D6&amp;REPT(" ",$H$2),$H$2)</f>
        <v xml:space="preserve">Camila Cabello                      </v>
      </c>
      <c r="I9" s="3" t="s">
        <v>0</v>
      </c>
      <c r="J9" s="2" t="str">
        <f>TEXT(Sheet1!E6,"HH:MM")&amp;" "</f>
        <v xml:space="preserve">02:42 </v>
      </c>
      <c r="K9" s="3" t="s">
        <v>0</v>
      </c>
    </row>
    <row r="10" spans="1:11">
      <c r="A10" t="s">
        <v>0</v>
      </c>
      <c r="B10">
        <f>Sheet1!A7</f>
        <v>6</v>
      </c>
      <c r="C10" s="3" t="s">
        <v>0</v>
      </c>
      <c r="D10" s="4" t="str">
        <f>LEFTB(Sheet1!B7&amp;REPT(" ",$D$2),$D$2)</f>
        <v>Dade County Dreaming</v>
      </c>
      <c r="E10" s="3" t="s">
        <v>0</v>
      </c>
      <c r="F10" t="str">
        <f>" "&amp;LEFTB(Sheet1!C7&amp;REPT(" ",$F$2),$F$2)</f>
        <v xml:space="preserve"> Camila Cabello, Yung Miami, Jasper Harris, JT, Lasana Smith, Trinidad James,                  El Guincho, Salvador Majail                                                                        </v>
      </c>
      <c r="G10" s="3" t="s">
        <v>0</v>
      </c>
      <c r="H10" t="str">
        <f>LEFTB(Sheet1!D7&amp;REPT(" ",$H$2),$H$2)</f>
        <v>Camila Cabello feat. Young Miami, JT</v>
      </c>
      <c r="I10" s="3" t="s">
        <v>0</v>
      </c>
      <c r="J10" s="2" t="str">
        <f>TEXT(Sheet1!E7,"HH:MM")&amp;" "</f>
        <v xml:space="preserve">02:39 </v>
      </c>
      <c r="K10" s="3" t="s">
        <v>0</v>
      </c>
    </row>
    <row r="11" spans="1:11">
      <c r="A11" t="s">
        <v>0</v>
      </c>
      <c r="B11">
        <f>Sheet1!A8</f>
        <v>7</v>
      </c>
      <c r="C11" s="3" t="s">
        <v>0</v>
      </c>
      <c r="D11" s="4" t="str">
        <f>LEFTB(Sheet1!B8&amp;REPT(" ",$D$2),$D$2)</f>
        <v xml:space="preserve">koshi xoxo          </v>
      </c>
      <c r="E11" s="3" t="s">
        <v>0</v>
      </c>
      <c r="F11" t="str">
        <f>" "&amp;LEFTB(Sheet1!C8&amp;REPT(" ",$F$2),$F$2)</f>
        <v xml:space="preserve"> BLP KOSHER, Yanacona, Jasper Harris, Camila Cabello, El Guincho                                                                                                                                  </v>
      </c>
      <c r="G11" s="3" t="s">
        <v>0</v>
      </c>
      <c r="H11" t="str">
        <f>LEFTB(Sheet1!D8&amp;REPT(" ",$H$2),$H$2)</f>
        <v xml:space="preserve">Camila Cabello feat. BLP KOSHER     </v>
      </c>
      <c r="I11" s="3" t="s">
        <v>0</v>
      </c>
      <c r="J11" s="2" t="str">
        <f>TEXT(Sheet1!E8,"HH:MM")&amp;" "</f>
        <v xml:space="preserve">00:46 </v>
      </c>
      <c r="K11" s="3" t="s">
        <v>0</v>
      </c>
    </row>
    <row r="12" spans="1:11">
      <c r="A12" t="s">
        <v>0</v>
      </c>
      <c r="B12">
        <f>Sheet1!A9</f>
        <v>8</v>
      </c>
      <c r="C12" s="3" t="s">
        <v>0</v>
      </c>
      <c r="D12" s="4" t="str">
        <f>LEFTB(Sheet1!B9&amp;REPT(" ",$D$2),$D$2)</f>
        <v xml:space="preserve">HOT UPTOWN          </v>
      </c>
      <c r="E12" s="3" t="s">
        <v>0</v>
      </c>
      <c r="F12" t="str">
        <f>" "&amp;LEFTB(Sheet1!C9&amp;REPT(" ",$F$2),$F$2)</f>
        <v xml:space="preserve"> Camila Cabello, Drake, YogiTheProducer, El Guincho, Jasper Harris                                                                                                                                </v>
      </c>
      <c r="G12" s="3" t="s">
        <v>0</v>
      </c>
      <c r="H12" t="str">
        <f>LEFTB(Sheet1!D9&amp;REPT(" ",$H$2),$H$2)</f>
        <v xml:space="preserve">Camila Cabello                      </v>
      </c>
      <c r="I12" s="3" t="s">
        <v>0</v>
      </c>
      <c r="J12" s="2" t="str">
        <f>TEXT(Sheet1!E9,"HH:MM")&amp;" "</f>
        <v xml:space="preserve">02:30 </v>
      </c>
      <c r="K12" s="3" t="s">
        <v>0</v>
      </c>
    </row>
    <row r="13" spans="1:11">
      <c r="A13" t="s">
        <v>0</v>
      </c>
      <c r="B13">
        <f>Sheet1!A10</f>
        <v>9</v>
      </c>
      <c r="C13" s="3" t="s">
        <v>0</v>
      </c>
      <c r="D13" s="4" t="str">
        <f>LEFTB(Sheet1!B10&amp;REPT(" ",$D$2),$D$2)</f>
        <v xml:space="preserve">Uuugly              </v>
      </c>
      <c r="E13" s="3" t="s">
        <v>0</v>
      </c>
      <c r="F13" t="str">
        <f>" "&amp;LEFTB(Sheet1!C10&amp;REPT(" ",$F$2),$F$2)</f>
        <v xml:space="preserve"> Drake                                                                                                                                                                                            </v>
      </c>
      <c r="G13" s="3" t="s">
        <v>0</v>
      </c>
      <c r="H13" t="str">
        <f>LEFTB(Sheet1!D10&amp;REPT(" ",$H$2),$H$2)</f>
        <v xml:space="preserve">Camila Cabello                      </v>
      </c>
      <c r="I13" s="3" t="s">
        <v>0</v>
      </c>
      <c r="J13" s="2" t="str">
        <f>TEXT(Sheet1!E10,"HH:MM")&amp;" "</f>
        <v xml:space="preserve">01:55 </v>
      </c>
      <c r="K13" s="3" t="s">
        <v>0</v>
      </c>
    </row>
    <row r="14" spans="1:11">
      <c r="A14" t="s">
        <v>0</v>
      </c>
      <c r="B14">
        <f>Sheet1!A11</f>
        <v>10</v>
      </c>
      <c r="C14" s="3" t="s">
        <v>0</v>
      </c>
      <c r="D14" s="4" t="str">
        <f>LEFTB(Sheet1!B11&amp;REPT(" ",$D$2),$D$2)</f>
        <v xml:space="preserve">DREAM-GIRLS         </v>
      </c>
      <c r="E14" s="3" t="s">
        <v>0</v>
      </c>
      <c r="F14" t="str">
        <f>" "&amp;LEFTB(Sheet1!C11&amp;REPT(" ",$F$2),$F$2)</f>
        <v xml:space="preserve"> Jasper Harris, El Guincho, The-Dream, Los Da Mystro, Camila Cabello, Hidde                                                                                                                       </v>
      </c>
      <c r="G14" s="3" t="s">
        <v>0</v>
      </c>
      <c r="H14" t="str">
        <f>LEFTB(Sheet1!D11&amp;REPT(" ",$H$2),$H$2)</f>
        <v xml:space="preserve">Camila Cabello                      </v>
      </c>
      <c r="I14" s="3" t="s">
        <v>0</v>
      </c>
      <c r="J14" s="2" t="str">
        <f>TEXT(Sheet1!E11,"HH:MM")&amp;" "</f>
        <v xml:space="preserve">02:51 </v>
      </c>
      <c r="K14" s="3" t="s">
        <v>0</v>
      </c>
    </row>
    <row r="15" spans="1:11">
      <c r="A15" t="s">
        <v>0</v>
      </c>
      <c r="B15">
        <f>Sheet1!A12</f>
        <v>11</v>
      </c>
      <c r="C15" s="3" t="s">
        <v>0</v>
      </c>
      <c r="D15" s="4" t="str">
        <f>LEFTB(Sheet1!B12&amp;REPT(" ",$D$2),$D$2)</f>
        <v xml:space="preserve">305tilidie          </v>
      </c>
      <c r="E15" s="3" t="s">
        <v>0</v>
      </c>
      <c r="F15" t="str">
        <f>" "&amp;LEFTB(Sheet1!C12&amp;REPT(" ",$F$2),$F$2)</f>
        <v xml:space="preserve"> El Guincho, Jasper Harris, Camila Cabello                                                                                                                                                        </v>
      </c>
      <c r="G15" s="3" t="s">
        <v>0</v>
      </c>
      <c r="H15" t="str">
        <f>LEFTB(Sheet1!D12&amp;REPT(" ",$H$2),$H$2)</f>
        <v xml:space="preserve">Camila Cabello                      </v>
      </c>
      <c r="I15" s="3" t="s">
        <v>0</v>
      </c>
      <c r="J15" s="2" t="str">
        <f>TEXT(Sheet1!E12,"HH:MM")&amp;" "</f>
        <v xml:space="preserve">00:49 </v>
      </c>
      <c r="K15" s="3" t="s">
        <v>0</v>
      </c>
    </row>
    <row r="16" spans="1:11">
      <c r="A16" t="s">
        <v>0</v>
      </c>
      <c r="B16">
        <f>Sheet1!A13</f>
        <v>12</v>
      </c>
      <c r="C16" s="3" t="s">
        <v>0</v>
      </c>
      <c r="D16" s="4" t="str">
        <f>LEFTB(Sheet1!B13&amp;REPT(" ",$D$2),$D$2)</f>
        <v xml:space="preserve">B.O.A.T.            </v>
      </c>
      <c r="E16" s="3" t="s">
        <v>0</v>
      </c>
      <c r="F16" t="str">
        <f>" "&amp;LEFTB(Sheet1!C13&amp;REPT(" ",$F$2),$F$2)</f>
        <v xml:space="preserve"> Daniel Aged, Jasper Harris, El Guincho, Pitbull, Bernard Edwards, Daniel                  McKay, Graham Wilson, Hugh Brankin, John Reid, Nile Rodgers, Ray Davies,                  Ross Campbell</v>
      </c>
      <c r="G16" s="3" t="s">
        <v>0</v>
      </c>
      <c r="H16" t="str">
        <f>LEFTB(Sheet1!D13&amp;REPT(" ",$H$2),$H$2)</f>
        <v xml:space="preserve">Camila Cabello                      </v>
      </c>
      <c r="I16" s="3" t="s">
        <v>0</v>
      </c>
      <c r="J16" s="2" t="str">
        <f>TEXT(Sheet1!E13,"HH:MM")&amp;" "</f>
        <v xml:space="preserve">02:56 </v>
      </c>
      <c r="K16" s="3" t="s">
        <v>0</v>
      </c>
    </row>
    <row r="17" spans="1:11">
      <c r="A17" t="s">
        <v>0</v>
      </c>
      <c r="B17">
        <f>Sheet1!A14</f>
        <v>13</v>
      </c>
      <c r="C17" s="3" t="s">
        <v>0</v>
      </c>
      <c r="D17" s="4" t="str">
        <f>LEFTB(Sheet1!B14&amp;REPT(" ",$D$2),$D$2)</f>
        <v xml:space="preserve">pretty when i cry   </v>
      </c>
      <c r="E17" s="3" t="s">
        <v>0</v>
      </c>
      <c r="F17" t="str">
        <f>" "&amp;LEFTB(Sheet1!C14&amp;REPT(" ",$F$2),$F$2)</f>
        <v xml:space="preserve"> Aaron Shadrow, El Guincho, Jasper Harris, Camila Cabello                                                                                                                                         </v>
      </c>
      <c r="G17" s="3" t="s">
        <v>0</v>
      </c>
      <c r="H17" t="str">
        <f>LEFTB(Sheet1!D14&amp;REPT(" ",$H$2),$H$2)</f>
        <v xml:space="preserve">Camila Cabello                      </v>
      </c>
      <c r="I17" s="3" t="s">
        <v>0</v>
      </c>
      <c r="J17" s="2" t="str">
        <f>TEXT(Sheet1!E14,"HH:MM")&amp;" "</f>
        <v xml:space="preserve">02:34 </v>
      </c>
      <c r="K17" s="3" t="s">
        <v>0</v>
      </c>
    </row>
    <row r="18" spans="1:11">
      <c r="A18" t="s">
        <v>0</v>
      </c>
      <c r="B18">
        <f>Sheet1!A15</f>
        <v>14</v>
      </c>
      <c r="C18" s="3" t="s">
        <v>0</v>
      </c>
      <c r="D18" t="str">
        <f>LEFTB(Sheet1!B15&amp;REPT(" ",$D$2),$D$2)</f>
        <v xml:space="preserve">June Gloom          </v>
      </c>
      <c r="E18" s="3" t="s">
        <v>0</v>
      </c>
      <c r="F18" t="str">
        <f>" "&amp;LEFTB(Sheet1!C15&amp;REPT(" ",$F$2),$F$2)</f>
        <v xml:space="preserve"> Camila Cabello, Jasper Harris, Zac, Finatik, El Guincho                                                                                                                                          </v>
      </c>
      <c r="G18" s="3" t="s">
        <v>0</v>
      </c>
      <c r="H18" t="str">
        <f>LEFTB(Sheet1!D15&amp;REPT(" ",$H$2),$H$2)</f>
        <v xml:space="preserve">Camila Cabello                      </v>
      </c>
      <c r="I18" s="3" t="s">
        <v>0</v>
      </c>
      <c r="J18" s="2" t="str">
        <f>TEXT(Sheet1!E15,"HH:MM")&amp;" "</f>
        <v xml:space="preserve">03:00 </v>
      </c>
      <c r="K18" s="3" t="s">
        <v>0</v>
      </c>
    </row>
    <row r="19" spans="1:11">
      <c r="A19" t="s">
        <v>0</v>
      </c>
      <c r="B19">
        <f>Sheet1!A16</f>
        <v>0</v>
      </c>
      <c r="C19" s="3" t="s">
        <v>0</v>
      </c>
      <c r="D19" t="str">
        <f>LEFTB(Sheet1!B16&amp;REPT(" ",$D$2),$D$2)</f>
        <v xml:space="preserve">                    </v>
      </c>
      <c r="E19" s="3" t="s">
        <v>0</v>
      </c>
      <c r="F19" t="str">
        <f>" "&amp;LEFTB(Sheet1!C16&amp;REPT(" ",$F$2),$F$2)</f>
        <v xml:space="preserve">                                                                                                                                                                                                  </v>
      </c>
      <c r="G19" s="3" t="s">
        <v>0</v>
      </c>
      <c r="H19" t="str">
        <f>LEFTB(Sheet1!D16&amp;REPT(" ",$H$2),$H$2)</f>
        <v xml:space="preserve">                                    </v>
      </c>
      <c r="I19" s="3" t="s">
        <v>0</v>
      </c>
      <c r="J19" s="2" t="str">
        <f>TEXT(Sheet1!E16,"HH:MM")&amp;" "</f>
        <v xml:space="preserve">00:00 </v>
      </c>
      <c r="K19" s="3" t="s">
        <v>0</v>
      </c>
    </row>
    <row r="20" spans="1:11">
      <c r="A20" t="s">
        <v>0</v>
      </c>
      <c r="B20">
        <f>Sheet1!A17</f>
        <v>0</v>
      </c>
      <c r="C20" s="3" t="s">
        <v>0</v>
      </c>
      <c r="D20" t="str">
        <f>LEFTB(Sheet1!B17&amp;REPT(" ",$D$2),$D$2)</f>
        <v xml:space="preserve">                    </v>
      </c>
      <c r="E20" s="3" t="s">
        <v>0</v>
      </c>
      <c r="F20" t="str">
        <f>" "&amp;LEFTB(Sheet1!C17&amp;REPT(" ",$F$2),$F$2)</f>
        <v xml:space="preserve">                                                                                                                                                                                                  </v>
      </c>
      <c r="G20" s="3" t="s">
        <v>0</v>
      </c>
      <c r="H20" t="str">
        <f>LEFTB(Sheet1!D17&amp;REPT(" ",$H$2),$H$2)</f>
        <v xml:space="preserve">                                    </v>
      </c>
      <c r="I20" s="3" t="s">
        <v>0</v>
      </c>
      <c r="J20" s="2" t="str">
        <f>TEXT(Sheet1!E17,"HH:MM")&amp;" "</f>
        <v xml:space="preserve">00:00 </v>
      </c>
      <c r="K20" s="3" t="s">
        <v>0</v>
      </c>
    </row>
    <row r="21" spans="1:11">
      <c r="A21" t="s">
        <v>0</v>
      </c>
      <c r="B21">
        <f>Sheet1!A18</f>
        <v>0</v>
      </c>
      <c r="C21" s="3" t="s">
        <v>0</v>
      </c>
      <c r="D21" t="str">
        <f>LEFTB(Sheet1!B18&amp;REPT(" ",$D$2),$D$2)</f>
        <v xml:space="preserve">                    </v>
      </c>
      <c r="E21" s="3" t="s">
        <v>0</v>
      </c>
      <c r="F21" t="str">
        <f>" "&amp;LEFTB(Sheet1!C18&amp;REPT(" ",$F$2),$F$2)</f>
        <v xml:space="preserve">                                                                                                                                                                                                  </v>
      </c>
      <c r="G21" s="3" t="s">
        <v>0</v>
      </c>
      <c r="H21" t="str">
        <f>LEFTB(Sheet1!D18&amp;REPT(" ",$H$2),$H$2)</f>
        <v xml:space="preserve">                                    </v>
      </c>
      <c r="I21" s="3" t="s">
        <v>0</v>
      </c>
      <c r="J21" s="2" t="str">
        <f>TEXT(Sheet1!E18,"HH:MM")&amp;" "</f>
        <v xml:space="preserve">00:00 </v>
      </c>
      <c r="K21" s="3" t="s">
        <v>0</v>
      </c>
    </row>
    <row r="22" spans="1:11">
      <c r="A22" t="s">
        <v>0</v>
      </c>
      <c r="B22">
        <f>Sheet1!A19</f>
        <v>0</v>
      </c>
      <c r="C22" s="3" t="s">
        <v>0</v>
      </c>
      <c r="D22" t="str">
        <f>LEFTB(Sheet1!B19&amp;REPT(" ",$D$2),$D$2)</f>
        <v xml:space="preserve">                    </v>
      </c>
      <c r="E22" s="3" t="s">
        <v>0</v>
      </c>
      <c r="F22" t="str">
        <f>" "&amp;LEFTB(Sheet1!C19&amp;REPT(" ",$F$2),$F$2)</f>
        <v xml:space="preserve">                                                                                                                                                                                                  </v>
      </c>
      <c r="G22" s="3" t="s">
        <v>0</v>
      </c>
      <c r="H22" t="str">
        <f>LEFTB(Sheet1!D19&amp;REPT(" ",$H$2),$H$2)</f>
        <v xml:space="preserve">                                    </v>
      </c>
      <c r="I22" s="3" t="s">
        <v>0</v>
      </c>
      <c r="J22" s="2" t="str">
        <f>TEXT(Sheet1!E19,"HH:MM")&amp;" "</f>
        <v xml:space="preserve">00:00 </v>
      </c>
      <c r="K22" s="3" t="s">
        <v>0</v>
      </c>
    </row>
    <row r="23" spans="1:11">
      <c r="A23" t="s">
        <v>0</v>
      </c>
      <c r="B23">
        <f>Sheet1!A20</f>
        <v>0</v>
      </c>
      <c r="C23" s="3" t="s">
        <v>0</v>
      </c>
      <c r="D23" t="str">
        <f>LEFTB(Sheet1!B20&amp;REPT(" ",$D$2),$D$2)</f>
        <v xml:space="preserve">                    </v>
      </c>
      <c r="E23" s="3" t="s">
        <v>0</v>
      </c>
      <c r="F23" t="str">
        <f>" "&amp;LEFTB(Sheet1!C20&amp;REPT(" ",$F$2),$F$2)</f>
        <v xml:space="preserve">                                                                                                                                                                                                  </v>
      </c>
      <c r="G23" s="3" t="s">
        <v>0</v>
      </c>
      <c r="H23" t="str">
        <f>LEFTB(Sheet1!D20&amp;REPT(" ",$H$2),$H$2)</f>
        <v xml:space="preserve">                                    </v>
      </c>
      <c r="I23" s="3" t="s">
        <v>0</v>
      </c>
      <c r="J23" s="2" t="str">
        <f>TEXT(Sheet1!E20,"HH:MM")&amp;" "</f>
        <v xml:space="preserve">00:00 </v>
      </c>
      <c r="K23" s="3" t="s">
        <v>0</v>
      </c>
    </row>
    <row r="24" spans="1:11">
      <c r="A24" t="s">
        <v>0</v>
      </c>
      <c r="B24">
        <f>Sheet1!A21</f>
        <v>0</v>
      </c>
      <c r="C24" s="3" t="s">
        <v>0</v>
      </c>
      <c r="D24" t="str">
        <f>LEFTB(Sheet1!B21&amp;REPT(" ",$D$2),$D$2)</f>
        <v xml:space="preserve">                    </v>
      </c>
      <c r="E24" s="3" t="s">
        <v>0</v>
      </c>
      <c r="F24" t="str">
        <f>" "&amp;LEFTB(Sheet1!C21&amp;REPT(" ",$F$2),$F$2)</f>
        <v xml:space="preserve">                                                                                                                                                                                                  </v>
      </c>
      <c r="G24" s="3" t="s">
        <v>0</v>
      </c>
      <c r="H24" t="str">
        <f>LEFTB(Sheet1!D21&amp;REPT(" ",$H$2),$H$2)</f>
        <v xml:space="preserve">                                    </v>
      </c>
      <c r="I24" s="3" t="s">
        <v>0</v>
      </c>
      <c r="J24" s="2" t="str">
        <f>TEXT(Sheet1!E21,"HH:MM")&amp;" "</f>
        <v xml:space="preserve">00:00 </v>
      </c>
      <c r="K24" s="3" t="s">
        <v>0</v>
      </c>
    </row>
    <row r="25" spans="1:11">
      <c r="A25" t="s">
        <v>0</v>
      </c>
      <c r="B25">
        <f>Sheet1!A22</f>
        <v>0</v>
      </c>
      <c r="C25" s="3" t="s">
        <v>0</v>
      </c>
      <c r="D25" t="str">
        <f>LEFTB(Sheet1!B22&amp;REPT(" ",$D$2),$D$2)</f>
        <v xml:space="preserve">                    </v>
      </c>
      <c r="E25" s="3" t="s">
        <v>0</v>
      </c>
      <c r="F25" t="str">
        <f>" "&amp;LEFTB(Sheet1!C22&amp;REPT(" ",$F$2),$F$2)</f>
        <v xml:space="preserve">                                                                                                                                                                                                  </v>
      </c>
      <c r="G25" s="3" t="s">
        <v>0</v>
      </c>
      <c r="H25" t="str">
        <f>LEFTB(Sheet1!D22&amp;REPT(" ",$H$2),$H$2)</f>
        <v xml:space="preserve">                                    </v>
      </c>
      <c r="I25" s="3" t="s">
        <v>0</v>
      </c>
      <c r="J25" s="2" t="str">
        <f>TEXT(Sheet1!E22,"HH:MM")&amp;" "</f>
        <v xml:space="preserve">00:00 </v>
      </c>
      <c r="K25" s="3" t="s">
        <v>0</v>
      </c>
    </row>
    <row r="26" spans="1:11">
      <c r="A26" t="s">
        <v>0</v>
      </c>
      <c r="B26">
        <f>Sheet1!A23</f>
        <v>0</v>
      </c>
      <c r="C26" s="3" t="s">
        <v>0</v>
      </c>
      <c r="D26" t="str">
        <f>LEFTB(Sheet1!B23&amp;REPT(" ",$D$2),$D$2)</f>
        <v xml:space="preserve">                    </v>
      </c>
      <c r="E26" s="3" t="s">
        <v>0</v>
      </c>
      <c r="F26" t="str">
        <f>" "&amp;LEFTB(Sheet1!C23&amp;REPT(" ",$F$2),$F$2)</f>
        <v xml:space="preserve">                                                                                                                                                                                                  </v>
      </c>
      <c r="G26" s="3" t="s">
        <v>0</v>
      </c>
      <c r="H26" t="str">
        <f>LEFTB(Sheet1!D23&amp;REPT(" ",$H$2),$H$2)</f>
        <v xml:space="preserve">                                    </v>
      </c>
      <c r="I26" s="3" t="s">
        <v>0</v>
      </c>
      <c r="J26" s="2" t="str">
        <f>TEXT(Sheet1!E23,"HH:MM")&amp;" "</f>
        <v xml:space="preserve">00:00 </v>
      </c>
      <c r="K26" s="3" t="s">
        <v>0</v>
      </c>
    </row>
    <row r="27" spans="1:11">
      <c r="A27" t="s">
        <v>0</v>
      </c>
      <c r="B27">
        <f>Sheet1!A24</f>
        <v>0</v>
      </c>
      <c r="C27" s="3" t="s">
        <v>0</v>
      </c>
      <c r="D27" t="str">
        <f>LEFTB(Sheet1!B24&amp;REPT(" ",$D$2),$D$2)</f>
        <v xml:space="preserve">                    </v>
      </c>
      <c r="E27" s="3" t="s">
        <v>0</v>
      </c>
      <c r="F27" t="str">
        <f>" "&amp;LEFTB(Sheet1!C24&amp;REPT(" ",$F$2),$F$2)</f>
        <v xml:space="preserve">                                                                                                                                                                                                  </v>
      </c>
      <c r="G27" s="3" t="s">
        <v>0</v>
      </c>
      <c r="H27" t="str">
        <f>LEFTB(Sheet1!D24&amp;REPT(" ",$H$2),$H$2)</f>
        <v xml:space="preserve">                                    </v>
      </c>
      <c r="I27" s="3" t="s">
        <v>0</v>
      </c>
      <c r="J27" s="2" t="str">
        <f>TEXT(Sheet1!E24,"HH:MM")&amp;" "</f>
        <v xml:space="preserve">00:00 </v>
      </c>
      <c r="K27" s="3" t="s">
        <v>0</v>
      </c>
    </row>
    <row r="28" spans="1:11">
      <c r="A28" t="s">
        <v>0</v>
      </c>
      <c r="B28">
        <f>Sheet1!A25</f>
        <v>0</v>
      </c>
      <c r="C28" s="3" t="s">
        <v>0</v>
      </c>
      <c r="D28" t="str">
        <f>LEFTB(Sheet1!B25&amp;REPT(" ",$D$2),$D$2)</f>
        <v xml:space="preserve">                    </v>
      </c>
      <c r="E28" s="3" t="s">
        <v>0</v>
      </c>
      <c r="F28" t="str">
        <f>" "&amp;LEFTB(Sheet1!C25&amp;REPT(" ",$F$2),$F$2)</f>
        <v xml:space="preserve">                                                                                                                                                                                                  </v>
      </c>
      <c r="G28" s="3" t="s">
        <v>0</v>
      </c>
      <c r="H28" t="str">
        <f>LEFTB(Sheet1!D25&amp;REPT(" ",$H$2),$H$2)</f>
        <v xml:space="preserve">                                    </v>
      </c>
      <c r="I28" s="3" t="s">
        <v>0</v>
      </c>
      <c r="J28" s="2" t="str">
        <f>TEXT(Sheet1!E25,"HH:MM")&amp;" "</f>
        <v xml:space="preserve">00:00 </v>
      </c>
      <c r="K28" s="3" t="s">
        <v>0</v>
      </c>
    </row>
    <row r="29" spans="1:11">
      <c r="A29" t="s">
        <v>0</v>
      </c>
      <c r="B29">
        <f>Sheet1!A26</f>
        <v>0</v>
      </c>
      <c r="C29" s="3" t="s">
        <v>0</v>
      </c>
      <c r="D29" t="str">
        <f>LEFTB(Sheet1!B26&amp;REPT(" ",$D$2),$D$2)</f>
        <v xml:space="preserve">                    </v>
      </c>
      <c r="E29" s="3" t="s">
        <v>0</v>
      </c>
      <c r="F29" t="str">
        <f>" "&amp;LEFTB(Sheet1!C26&amp;REPT(" ",$F$2),$F$2)</f>
        <v xml:space="preserve">                                                                                                                                                                                                  </v>
      </c>
      <c r="G29" s="3" t="s">
        <v>0</v>
      </c>
      <c r="H29" t="str">
        <f>LEFTB(Sheet1!D26&amp;REPT(" ",$H$2),$H$2)</f>
        <v xml:space="preserve">                                    </v>
      </c>
      <c r="I29" s="3" t="s">
        <v>0</v>
      </c>
      <c r="J29" s="2" t="str">
        <f>TEXT(Sheet1!E26,"HH:MM")&amp;" "</f>
        <v xml:space="preserve">00:00 </v>
      </c>
      <c r="K29" s="3" t="s">
        <v>0</v>
      </c>
    </row>
    <row r="30" spans="1:11">
      <c r="A30" t="s">
        <v>0</v>
      </c>
      <c r="B30">
        <f>Sheet1!A27</f>
        <v>0</v>
      </c>
      <c r="C30" s="3" t="s">
        <v>0</v>
      </c>
      <c r="D30" t="str">
        <f>LEFTB(Sheet1!B27&amp;REPT(" ",$D$2),$D$2)</f>
        <v xml:space="preserve">                    </v>
      </c>
      <c r="E30" s="3" t="s">
        <v>0</v>
      </c>
      <c r="F30" t="str">
        <f>" "&amp;LEFTB(Sheet1!C27&amp;REPT(" ",$F$2),$F$2)</f>
        <v xml:space="preserve">                                                                                                                                                                                                  </v>
      </c>
      <c r="G30" s="3" t="s">
        <v>0</v>
      </c>
      <c r="H30" t="str">
        <f>LEFTB(Sheet1!D27&amp;REPT(" ",$H$2),$H$2)</f>
        <v xml:space="preserve">                                    </v>
      </c>
      <c r="I30" s="3" t="s">
        <v>0</v>
      </c>
      <c r="J30" s="2" t="str">
        <f>TEXT(Sheet1!E27,"HH:MM")&amp;" "</f>
        <v xml:space="preserve">00:00 </v>
      </c>
      <c r="K30" s="3" t="s">
        <v>0</v>
      </c>
    </row>
  </sheetData>
  <phoneticPr fontId="1"/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EDD965-F8D6-47DC-890D-0CC058E1C4A0}">
  <dimension ref="A1:E15"/>
  <sheetViews>
    <sheetView workbookViewId="0">
      <selection sqref="A1:XFD1048576"/>
    </sheetView>
  </sheetViews>
  <sheetFormatPr defaultRowHeight="19.5"/>
  <cols>
    <col min="1" max="1" width="6.21875" bestFit="1" customWidth="1"/>
    <col min="2" max="2" width="21.77734375" bestFit="1" customWidth="1"/>
    <col min="3" max="3" width="80.88671875" bestFit="1" customWidth="1"/>
    <col min="4" max="4" width="34.44140625" bestFit="1" customWidth="1"/>
    <col min="5" max="5" width="7.77734375" bestFit="1" customWidth="1"/>
  </cols>
  <sheetData>
    <row r="1" spans="1:5">
      <c r="A1" t="s">
        <v>7</v>
      </c>
      <c r="B1" t="s">
        <v>4</v>
      </c>
      <c r="C1" t="s">
        <v>3</v>
      </c>
      <c r="D1" t="s">
        <v>6</v>
      </c>
      <c r="E1" t="s">
        <v>5</v>
      </c>
    </row>
    <row r="2" spans="1:5">
      <c r="A2">
        <v>1</v>
      </c>
      <c r="B2" s="6" t="s">
        <v>8</v>
      </c>
      <c r="C2" s="6" t="s">
        <v>9</v>
      </c>
      <c r="D2" s="6" t="s">
        <v>10</v>
      </c>
      <c r="E2" s="5">
        <v>0.12083333333333333</v>
      </c>
    </row>
    <row r="3" spans="1:5">
      <c r="A3">
        <v>2</v>
      </c>
      <c r="B3" s="6" t="s">
        <v>11</v>
      </c>
      <c r="C3" s="6" t="s">
        <v>12</v>
      </c>
      <c r="D3" s="6" t="s">
        <v>13</v>
      </c>
      <c r="E3" s="5">
        <v>0.1111111111111111</v>
      </c>
    </row>
    <row r="4" spans="1:5">
      <c r="A4">
        <v>3</v>
      </c>
      <c r="B4" s="6" t="s">
        <v>14</v>
      </c>
      <c r="C4" s="6" t="s">
        <v>15</v>
      </c>
      <c r="D4" s="6" t="s">
        <v>13</v>
      </c>
      <c r="E4" s="5">
        <v>3.8194444444444448E-2</v>
      </c>
    </row>
    <row r="5" spans="1:5">
      <c r="A5">
        <v>4</v>
      </c>
      <c r="B5" s="6" t="s">
        <v>16</v>
      </c>
      <c r="C5" s="6" t="s">
        <v>17</v>
      </c>
      <c r="D5" s="6" t="s">
        <v>18</v>
      </c>
      <c r="E5" s="5">
        <v>0.12569444444444444</v>
      </c>
    </row>
    <row r="6" spans="1:5">
      <c r="A6">
        <v>5</v>
      </c>
      <c r="B6" s="6" t="s">
        <v>19</v>
      </c>
      <c r="C6" s="6" t="s">
        <v>20</v>
      </c>
      <c r="D6" s="6" t="s">
        <v>13</v>
      </c>
      <c r="E6" s="5">
        <v>0.1125</v>
      </c>
    </row>
    <row r="7" spans="1:5">
      <c r="A7">
        <v>6</v>
      </c>
      <c r="B7" s="6" t="s">
        <v>21</v>
      </c>
      <c r="C7" s="6" t="s">
        <v>22</v>
      </c>
      <c r="D7" s="6" t="s">
        <v>23</v>
      </c>
      <c r="E7" s="5">
        <v>0.11041666666666666</v>
      </c>
    </row>
    <row r="8" spans="1:5">
      <c r="A8">
        <v>7</v>
      </c>
      <c r="B8" s="6" t="s">
        <v>24</v>
      </c>
      <c r="C8" s="6" t="s">
        <v>25</v>
      </c>
      <c r="D8" s="6" t="s">
        <v>26</v>
      </c>
      <c r="E8" s="5">
        <v>3.1944444444444442E-2</v>
      </c>
    </row>
    <row r="9" spans="1:5">
      <c r="A9">
        <v>8</v>
      </c>
      <c r="B9" s="6" t="s">
        <v>27</v>
      </c>
      <c r="C9" s="6" t="s">
        <v>28</v>
      </c>
      <c r="D9" s="6" t="s">
        <v>13</v>
      </c>
      <c r="E9" s="5">
        <v>0.10416666666666667</v>
      </c>
    </row>
    <row r="10" spans="1:5">
      <c r="A10">
        <v>9</v>
      </c>
      <c r="B10" s="6" t="s">
        <v>29</v>
      </c>
      <c r="C10" s="6" t="s">
        <v>30</v>
      </c>
      <c r="D10" s="6" t="s">
        <v>13</v>
      </c>
      <c r="E10" s="5">
        <v>7.9861111111111105E-2</v>
      </c>
    </row>
    <row r="11" spans="1:5">
      <c r="A11">
        <v>10</v>
      </c>
      <c r="B11" s="6" t="s">
        <v>31</v>
      </c>
      <c r="C11" s="6" t="s">
        <v>32</v>
      </c>
      <c r="D11" s="6" t="s">
        <v>13</v>
      </c>
      <c r="E11" s="5">
        <v>0.11874999999999999</v>
      </c>
    </row>
    <row r="12" spans="1:5">
      <c r="A12">
        <v>11</v>
      </c>
      <c r="B12" s="6" t="s">
        <v>33</v>
      </c>
      <c r="C12" s="6" t="s">
        <v>34</v>
      </c>
      <c r="D12" s="6" t="s">
        <v>13</v>
      </c>
      <c r="E12" s="5">
        <v>3.4027777777777775E-2</v>
      </c>
    </row>
    <row r="13" spans="1:5">
      <c r="A13">
        <v>12</v>
      </c>
      <c r="B13" s="6" t="s">
        <v>35</v>
      </c>
      <c r="C13" s="6" t="s">
        <v>36</v>
      </c>
      <c r="D13" s="6" t="s">
        <v>13</v>
      </c>
      <c r="E13" s="5">
        <v>0.12222222222222222</v>
      </c>
    </row>
    <row r="14" spans="1:5">
      <c r="A14">
        <v>13</v>
      </c>
      <c r="B14" s="6" t="s">
        <v>37</v>
      </c>
      <c r="C14" s="6" t="s">
        <v>38</v>
      </c>
      <c r="D14" s="6" t="s">
        <v>13</v>
      </c>
      <c r="E14" s="5">
        <v>0.10694444444444444</v>
      </c>
    </row>
    <row r="15" spans="1:5">
      <c r="A15">
        <v>14</v>
      </c>
      <c r="B15" s="6" t="s">
        <v>39</v>
      </c>
      <c r="C15" s="6" t="s">
        <v>40</v>
      </c>
      <c r="D15" s="6" t="s">
        <v>13</v>
      </c>
      <c r="E15" s="5">
        <v>0.125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27C68-2185-4F7D-83AD-774B6B28271B}">
  <dimension ref="E2:E15"/>
  <sheetViews>
    <sheetView workbookViewId="0"/>
  </sheetViews>
  <sheetFormatPr defaultRowHeight="19.5"/>
  <cols>
    <col min="1" max="1" width="11" bestFit="1" customWidth="1"/>
    <col min="2" max="2" width="21.33203125" bestFit="1" customWidth="1"/>
    <col min="3" max="3" width="80.88671875" bestFit="1" customWidth="1"/>
    <col min="4" max="4" width="48.5546875" bestFit="1" customWidth="1"/>
    <col min="5" max="5" width="7.77734375" bestFit="1" customWidth="1"/>
  </cols>
  <sheetData>
    <row r="2" spans="5:5">
      <c r="E2" s="5"/>
    </row>
    <row r="3" spans="5:5">
      <c r="E3" s="5"/>
    </row>
    <row r="4" spans="5:5">
      <c r="E4" s="5"/>
    </row>
    <row r="5" spans="5:5">
      <c r="E5" s="5"/>
    </row>
    <row r="6" spans="5:5">
      <c r="E6" s="5"/>
    </row>
    <row r="7" spans="5:5">
      <c r="E7" s="5"/>
    </row>
    <row r="8" spans="5:5">
      <c r="E8" s="5"/>
    </row>
    <row r="9" spans="5:5">
      <c r="E9" s="5"/>
    </row>
    <row r="10" spans="5:5">
      <c r="E10" s="5"/>
    </row>
    <row r="11" spans="5:5">
      <c r="E11" s="5"/>
    </row>
    <row r="12" spans="5:5">
      <c r="E12" s="5"/>
    </row>
    <row r="13" spans="5:5">
      <c r="E13" s="5"/>
    </row>
    <row r="14" spans="5:5">
      <c r="E14" s="5"/>
    </row>
    <row r="15" spans="5:5">
      <c r="E15" s="5"/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5356AA-48A3-43B8-AC21-6CF0F69D276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Sheet1</vt:lpstr>
      <vt:lpstr>Sheet2</vt:lpstr>
      <vt:lpstr>テーブル 5 (57)</vt:lpstr>
      <vt:lpstr>テーブル 5 (55)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KAZUHIDE Yokoyama</dc:creator>
  <cp:lastModifiedBy>Yokoyama Kazuhide</cp:lastModifiedBy>
  <dcterms:created xsi:type="dcterms:W3CDTF">2020-06-01T02:07:32Z</dcterms:created>
  <dcterms:modified xsi:type="dcterms:W3CDTF">2025-05-06T06:19:41Z</dcterms:modified>
</cp:coreProperties>
</file>