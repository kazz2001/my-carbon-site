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defaultThemeVersion="166925"/>
  <mc:AlternateContent xmlns:mc="http://schemas.openxmlformats.org/markup-compatibility/2006">
    <mc:Choice Requires="x15">
      <x15ac:absPath xmlns:x15ac="http://schemas.microsoft.com/office/spreadsheetml/2010/11/ac" url="D:\carbon\mcs_v4\"/>
    </mc:Choice>
  </mc:AlternateContent>
  <xr:revisionPtr revIDLastSave="0" documentId="13_ncr:1_{5418600D-EED2-46F0-A752-795C1A08923D}" xr6:coauthVersionLast="47" xr6:coauthVersionMax="47" xr10:uidLastSave="{00000000-0000-0000-0000-000000000000}"/>
  <bookViews>
    <workbookView xWindow="9036" yWindow="708" windowWidth="21912" windowHeight="16824" activeTab="1" xr2:uid="{00000000-000D-0000-FFFF-FFFF00000000}"/>
  </bookViews>
  <sheets>
    <sheet name="Sheet1" sheetId="1" r:id="rId1"/>
    <sheet name="Sheet2" sheetId="2" r:id="rId2"/>
    <sheet name="テーブル 5 (25)" sheetId="52" r:id="rId3"/>
    <sheet name="テーブル 5 (23)" sheetId="51" r:id="rId4"/>
  </sheets>
  <definedNames>
    <definedName name="ExternalData_1" localSheetId="2" hidden="1">'テーブル 5 (25)'!$A$1:$E$20</definedName>
    <definedName name="ExternalData_2" localSheetId="0" hidden="1">Sheet1!$A$1:$E$20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0" i="2" l="1"/>
  <c r="B30" i="2"/>
  <c r="J29" i="2"/>
  <c r="B29" i="2"/>
  <c r="J28" i="2"/>
  <c r="B28" i="2"/>
  <c r="J27" i="2" l="1"/>
  <c r="B27" i="2"/>
  <c r="J26" i="2"/>
  <c r="B26" i="2"/>
  <c r="J25" i="2"/>
  <c r="B25" i="2"/>
  <c r="J24" i="2"/>
  <c r="B24" i="2"/>
  <c r="J23" i="2"/>
  <c r="B23" i="2"/>
  <c r="J22" i="2"/>
  <c r="B22" i="2"/>
  <c r="J21" i="2"/>
  <c r="B21" i="2"/>
  <c r="J20" i="2"/>
  <c r="B20" i="2"/>
  <c r="J19" i="2"/>
  <c r="B19" i="2"/>
  <c r="J18" i="2"/>
  <c r="B18" i="2"/>
  <c r="J17" i="2"/>
  <c r="B17" i="2"/>
  <c r="J16" i="2"/>
  <c r="B16" i="2"/>
  <c r="J15" i="2"/>
  <c r="B15" i="2"/>
  <c r="J14" i="2"/>
  <c r="B14" i="2"/>
  <c r="J13" i="2"/>
  <c r="B13" i="2"/>
  <c r="J12" i="2"/>
  <c r="B12" i="2"/>
  <c r="J11" i="2"/>
  <c r="B11" i="2"/>
  <c r="J10" i="2"/>
  <c r="B10" i="2"/>
  <c r="J9" i="2"/>
  <c r="B9" i="2"/>
  <c r="J8" i="2"/>
  <c r="B8" i="2"/>
  <c r="J7" i="2"/>
  <c r="B7" i="2"/>
  <c r="J6" i="2"/>
  <c r="B6" i="2"/>
  <c r="J5" i="2"/>
  <c r="B5" i="2"/>
  <c r="J3" i="2"/>
  <c r="B3" i="2"/>
  <c r="J2" i="2"/>
  <c r="H2" i="2" a="1"/>
  <c r="H2" i="2" s="1"/>
  <c r="F2" i="2" a="1"/>
  <c r="F2" i="2" s="1"/>
  <c r="D2" i="2" a="1"/>
  <c r="D2" i="2" s="1"/>
  <c r="H24" i="2" l="1"/>
  <c r="H30" i="2"/>
  <c r="H28" i="2"/>
  <c r="H29" i="2"/>
  <c r="F30" i="2"/>
  <c r="F28" i="2"/>
  <c r="F29" i="2"/>
  <c r="D26" i="2"/>
  <c r="D29" i="2"/>
  <c r="D30" i="2"/>
  <c r="D28" i="2"/>
  <c r="F21" i="2"/>
  <c r="F23" i="2"/>
  <c r="D12" i="2"/>
  <c r="D20" i="2"/>
  <c r="H7" i="2"/>
  <c r="H15" i="2"/>
  <c r="H3" i="2"/>
  <c r="H5" i="2"/>
  <c r="D7" i="2"/>
  <c r="F10" i="2"/>
  <c r="H13" i="2"/>
  <c r="D15" i="2"/>
  <c r="F18" i="2"/>
  <c r="H21" i="2"/>
  <c r="D23" i="2"/>
  <c r="F26" i="2"/>
  <c r="F4" i="2"/>
  <c r="D6" i="2"/>
  <c r="F9" i="2"/>
  <c r="H12" i="2"/>
  <c r="D14" i="2"/>
  <c r="F17" i="2"/>
  <c r="H20" i="2"/>
  <c r="D22" i="2"/>
  <c r="F25" i="2"/>
  <c r="F15" i="2"/>
  <c r="D9" i="2"/>
  <c r="D25" i="2"/>
  <c r="H4" i="2"/>
  <c r="F6" i="2"/>
  <c r="H9" i="2"/>
  <c r="D11" i="2"/>
  <c r="F14" i="2"/>
  <c r="H17" i="2"/>
  <c r="D19" i="2"/>
  <c r="F22" i="2"/>
  <c r="H25" i="2"/>
  <c r="D27" i="2"/>
  <c r="H10" i="2"/>
  <c r="D4" i="2"/>
  <c r="F12" i="2"/>
  <c r="F20" i="2"/>
  <c r="H6" i="2"/>
  <c r="D8" i="2"/>
  <c r="F11" i="2"/>
  <c r="H14" i="2"/>
  <c r="D16" i="2"/>
  <c r="F19" i="2"/>
  <c r="H22" i="2"/>
  <c r="D24" i="2"/>
  <c r="F27" i="2"/>
  <c r="F7" i="2"/>
  <c r="H18" i="2"/>
  <c r="H26" i="2"/>
  <c r="D17" i="2"/>
  <c r="H23" i="2"/>
  <c r="D3" i="2"/>
  <c r="D5" i="2"/>
  <c r="F8" i="2"/>
  <c r="H11" i="2"/>
  <c r="D13" i="2"/>
  <c r="F16" i="2"/>
  <c r="H19" i="2"/>
  <c r="D21" i="2"/>
  <c r="F24" i="2"/>
  <c r="H27" i="2"/>
  <c r="F3" i="2"/>
  <c r="F5" i="2"/>
  <c r="H8" i="2"/>
  <c r="D10" i="2"/>
  <c r="F13" i="2"/>
  <c r="H16" i="2"/>
  <c r="D18"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クエリ - Table 3" description="ブック内の 'Table 3' クエリへの接続です。" type="5" refreshedVersion="0" background="1">
    <dbPr connection="Provider=Microsoft.Mashup.OleDb.1;Data Source=$Workbook$;Location=&quot;Table 3&quot;;Extended Properties=&quot;&quot;" command="SELECT * FROM [Table 3]"/>
  </connection>
  <connection id="2" xr16:uid="{00000000-0015-0000-FFFF-FFFF01000000}" keepAlive="1" name="クエリ - Table 3 (10)" description="ブック内の 'Table 3 (10)' クエリへの接続です。" type="5" refreshedVersion="8" background="1" saveData="1">
    <dbPr connection="Provider=Microsoft.Mashup.OleDb.1;Data Source=$Workbook$;Location=&quot;Table 3 (10)&quot;;Extended Properties=&quot;&quot;" command="SELECT * FROM [Table 3 (10)]"/>
  </connection>
  <connection id="3" xr16:uid="{00000000-0015-0000-FFFF-FFFF02000000}" keepAlive="1" name="クエリ - Table 3 (11)" description="ブック内の 'Table 3 (11)' クエリへの接続です。" type="5" refreshedVersion="8" background="1" saveData="1">
    <dbPr connection="Provider=Microsoft.Mashup.OleDb.1;Data Source=$Workbook$;Location=&quot;Table 3 (11)&quot;;Extended Properties=&quot;&quot;" command="SELECT * FROM [Table 3 (11)]"/>
  </connection>
  <connection id="4" xr16:uid="{00000000-0015-0000-FFFF-FFFF03000000}" keepAlive="1" name="クエリ - Table 3 (12)" description="ブック内の 'Table 3 (12)' クエリへの接続です。" type="5" refreshedVersion="8" background="1" saveData="1">
    <dbPr connection="Provider=Microsoft.Mashup.OleDb.1;Data Source=$Workbook$;Location=&quot;Table 3 (12)&quot;;Extended Properties=&quot;&quot;" command="SELECT * FROM [Table 3 (12)]"/>
  </connection>
  <connection id="5" xr16:uid="{00000000-0015-0000-FFFF-FFFF04000000}" keepAlive="1" name="クエリ - Table 3 (13)" description="ブック内の 'Table 3 (13)' クエリへの接続です。" type="5" refreshedVersion="0" background="1">
    <dbPr connection="Provider=Microsoft.Mashup.OleDb.1;Data Source=$Workbook$;Location=&quot;Table 3 (13)&quot;;Extended Properties=&quot;&quot;" command="SELECT * FROM [Table 3 (13)]"/>
  </connection>
  <connection id="6" xr16:uid="{00000000-0015-0000-FFFF-FFFF05000000}" keepAlive="1" name="クエリ - Table 3 (14)" description="ブック内の 'Table 3 (14)' クエリへの接続です。" type="5" refreshedVersion="8" background="1" saveData="1">
    <dbPr connection="Provider=Microsoft.Mashup.OleDb.1;Data Source=$Workbook$;Location=&quot;Table 3 (14)&quot;;Extended Properties=&quot;&quot;" command="SELECT * FROM [Table 3 (14)]"/>
  </connection>
  <connection id="7" xr16:uid="{BBDDB330-635A-4FD3-9B97-EA23FECC0AE6}" keepAlive="1" name="クエリ - Table 3 (17)" description="ブック内の 'Table 3 (17)' クエリへの接続です。" type="5" refreshedVersion="0" background="1">
    <dbPr connection="Provider=Microsoft.Mashup.OleDb.1;Data Source=$Workbook$;Location=&quot;Table 3 (17)&quot;;Extended Properties=&quot;&quot;" command="SELECT * FROM [Table 3 (17)]"/>
  </connection>
  <connection id="8" xr16:uid="{59629BA3-7031-4BD0-A30D-0546CC37554E}" keepAlive="1" name="クエリ - Table 3 (18)" description="ブック内の 'Table 3 (18)' クエリへの接続です。" type="5" refreshedVersion="8" background="1" saveData="1">
    <dbPr connection="Provider=Microsoft.Mashup.OleDb.1;Data Source=$Workbook$;Location=&quot;Table 3 (18)&quot;;Extended Properties=&quot;&quot;" command="SELECT * FROM [Table 3 (18)]"/>
  </connection>
  <connection id="9" xr16:uid="{08FA7F66-84D1-41B1-AD8A-A60A8C34F498}" keepAlive="1" name="クエリ - Table 3 (19)" description="ブック内の 'Table 3 (19)' クエリへの接続です。" type="5" refreshedVersion="8" background="1" saveData="1">
    <dbPr connection="Provider=Microsoft.Mashup.OleDb.1;Data Source=$Workbook$;Location=&quot;Table 3 (19)&quot;;Extended Properties=&quot;&quot;" command="SELECT * FROM [Table 3 (19)]"/>
  </connection>
  <connection id="10" xr16:uid="{00000000-0015-0000-FFFF-FFFF06000000}" keepAlive="1" name="クエリ - Table 3 (2)" description="ブック内の 'Table 3 (2)' クエリへの接続です。" type="5" refreshedVersion="0" background="1">
    <dbPr connection="Provider=Microsoft.Mashup.OleDb.1;Data Source=$Workbook$;Location=&quot;Table 3 (2)&quot;;Extended Properties=&quot;&quot;" command="SELECT * FROM [Table 3 (2)]"/>
  </connection>
  <connection id="11" xr16:uid="{1BB2406A-A215-49AD-BDCF-AB1CC1940533}" keepAlive="1" name="クエリ - Table 3 (20)" description="ブック内の 'Table 3 (20)' クエリへの接続です。" type="5" refreshedVersion="8" background="1" saveData="1">
    <dbPr connection="Provider=Microsoft.Mashup.OleDb.1;Data Source=$Workbook$;Location=&quot;Table 3 (20)&quot;;Extended Properties=&quot;&quot;" command="SELECT * FROM [Table 3 (20)]"/>
  </connection>
  <connection id="12" xr16:uid="{A923C67F-66FA-47A7-8769-2C8E672AADC2}" keepAlive="1" name="クエリ - Table 3 (21)" description="ブック内の 'Table 3 (21)' クエリへの接続です。" type="5" refreshedVersion="0" background="1">
    <dbPr connection="Provider=Microsoft.Mashup.OleDb.1;Data Source=$Workbook$;Location=&quot;Table 3 (21)&quot;;Extended Properties=&quot;&quot;" command="SELECT * FROM [Table 3 (21)]"/>
  </connection>
  <connection id="13" xr16:uid="{5C4F1F22-6BC5-4EEF-A525-55F0A2EAA8AB}" keepAlive="1" name="クエリ - Table 3 (22)" description="ブック内の 'Table 3 (22)' クエリへの接続です。" type="5" refreshedVersion="8" background="1" saveData="1">
    <dbPr connection="Provider=Microsoft.Mashup.OleDb.1;Data Source=$Workbook$;Location=&quot;Table 3 (22)&quot;;Extended Properties=&quot;&quot;" command="SELECT * FROM [Table 3 (22)]"/>
  </connection>
  <connection id="14" xr16:uid="{E157A86B-7235-439A-ACCA-6870352BCCE2}" keepAlive="1" name="クエリ - Table 3 (23)" description="ブック内の 'Table 3 (23)' クエリへの接続です。" type="5" refreshedVersion="8" background="1" saveData="1">
    <dbPr connection="Provider=Microsoft.Mashup.OleDb.1;Data Source=$Workbook$;Location=&quot;Table 3 (23)&quot;;Extended Properties=&quot;&quot;" command="SELECT * FROM [Table 3 (23)]"/>
  </connection>
  <connection id="15" xr16:uid="{BCB139AD-686B-4CA1-BED5-5EF4474290DB}" keepAlive="1" name="クエリ - Table 3 (24)" description="ブック内の 'Table 3 (24)' クエリへの接続です。" type="5" refreshedVersion="8" background="1" saveData="1">
    <dbPr connection="Provider=Microsoft.Mashup.OleDb.1;Data Source=$Workbook$;Location=&quot;Table 3 (24)&quot;;Extended Properties=&quot;&quot;" command="SELECT * FROM [Table 3 (24)]"/>
  </connection>
  <connection id="16" xr16:uid="{B390C490-7684-4991-B334-3962976A3C16}" keepAlive="1" name="クエリ - Table 3 (25)" description="ブック内の 'Table 3 (25)' クエリへの接続です。" type="5" refreshedVersion="0" background="1">
    <dbPr connection="Provider=Microsoft.Mashup.OleDb.1;Data Source=$Workbook$;Location=&quot;Table 3 (25)&quot;;Extended Properties=&quot;&quot;" command="SELECT * FROM [Table 3 (25)]"/>
  </connection>
  <connection id="17" xr16:uid="{96404DEB-DCAD-4EF3-9CB5-CDF10EE8EA43}" keepAlive="1" name="クエリ - Table 3 (26)" description="ブック内の 'Table 3 (26)' クエリへの接続です。" type="5" refreshedVersion="8" background="1" saveData="1">
    <dbPr connection="Provider=Microsoft.Mashup.OleDb.1;Data Source=$Workbook$;Location=&quot;Table 3 (26)&quot;;Extended Properties=&quot;&quot;" command="SELECT * FROM [Table 3 (26)]"/>
  </connection>
  <connection id="18" xr16:uid="{D91FCA50-814B-4209-9685-ADAE4EE9A52E}" keepAlive="1" name="クエリ - Table 3 (27)" description="ブック内の 'Table 3 (27)' クエリへの接続です。" type="5" refreshedVersion="0" background="1">
    <dbPr connection="Provider=Microsoft.Mashup.OleDb.1;Data Source=$Workbook$;Location=&quot;Table 3 (27)&quot;;Extended Properties=&quot;&quot;" command="SELECT * FROM [Table 3 (27)]"/>
  </connection>
  <connection id="19" xr16:uid="{087A6F5E-2E87-4E34-AC3A-2C6157520DAA}" keepAlive="1" name="クエリ - Table 3 (28)" description="ブック内の 'Table 3 (28)' クエリへの接続です。" type="5" refreshedVersion="8" background="1" saveData="1">
    <dbPr connection="Provider=Microsoft.Mashup.OleDb.1;Data Source=$Workbook$;Location=&quot;Table 3 (28)&quot;;Extended Properties=&quot;&quot;" command="SELECT * FROM [Table 3 (28)]"/>
  </connection>
  <connection id="20" xr16:uid="{5ABE8F91-5CB3-468F-9F21-A64594C0D26F}" keepAlive="1" name="クエリ - Table 3 (29)" description="ブック内の 'Table 3 (29)' クエリへの接続です。" type="5" refreshedVersion="8" background="1" saveData="1">
    <dbPr connection="Provider=Microsoft.Mashup.OleDb.1;Data Source=$Workbook$;Location=&quot;Table 3 (29)&quot;;Extended Properties=&quot;&quot;" command="SELECT * FROM [Table 3 (29)]"/>
  </connection>
  <connection id="21" xr16:uid="{00000000-0015-0000-FFFF-FFFF07000000}" keepAlive="1" name="クエリ - Table 3 (3)" description="ブック内の 'Table 3 (3)' クエリへの接続です。" type="5" refreshedVersion="8" background="1" saveData="1">
    <dbPr connection="Provider=Microsoft.Mashup.OleDb.1;Data Source=$Workbook$;Location=&quot;Table 3 (3)&quot;;Extended Properties=&quot;&quot;" command="SELECT * FROM [Table 3 (3)]"/>
  </connection>
  <connection id="22" xr16:uid="{30219059-5A6A-48D3-B83D-9E080CDF23F5}" keepAlive="1" name="クエリ - Table 3 (30)" description="ブック内の 'Table 3 (30)' クエリへの接続です。" type="5" refreshedVersion="8" background="1" saveData="1">
    <dbPr connection="Provider=Microsoft.Mashup.OleDb.1;Data Source=$Workbook$;Location=&quot;Table 3 (30)&quot;;Extended Properties=&quot;&quot;" command="SELECT * FROM [Table 3 (30)]"/>
  </connection>
  <connection id="23" xr16:uid="{BEEC4493-24B8-45BD-BA72-A99614481F9D}" keepAlive="1" name="クエリ - Table 3 (31)" description="ブック内の 'Table 3 (31)' クエリへの接続です。" type="5" refreshedVersion="0" background="1">
    <dbPr connection="Provider=Microsoft.Mashup.OleDb.1;Data Source=$Workbook$;Location=&quot;Table 3 (31)&quot;;Extended Properties=&quot;&quot;" command="SELECT * FROM [Table 3 (31)]"/>
  </connection>
  <connection id="24" xr16:uid="{F96985D1-BCC0-4393-809C-6ACB6E0D2913}" keepAlive="1" name="クエリ - Table 3 (32)" description="ブック内の 'Table 3 (32)' クエリへの接続です。" type="5" refreshedVersion="8" background="1" saveData="1">
    <dbPr connection="Provider=Microsoft.Mashup.OleDb.1;Data Source=$Workbook$;Location=&quot;Table 3 (32)&quot;;Extended Properties=&quot;&quot;" command="SELECT * FROM [Table 3 (32)]"/>
  </connection>
  <connection id="25" xr16:uid="{5F823967-9E8D-4A03-9DA1-1A207095B3ED}" keepAlive="1" name="クエリ - Table 3 (33)" description="ブック内の 'Table 3 (33)' クエリへの接続です。" type="5" refreshedVersion="8" background="1" saveData="1">
    <dbPr connection="Provider=Microsoft.Mashup.OleDb.1;Data Source=$Workbook$;Location=&quot;Table 3 (33)&quot;;Extended Properties=&quot;&quot;" command="SELECT * FROM [Table 3 (33)]"/>
  </connection>
  <connection id="26" xr16:uid="{5993CCC8-FDFD-4119-B7F4-609C7EF0845B}" keepAlive="1" name="クエリ - Table 3 (34)" description="ブック内の 'Table 3 (34)' クエリへの接続です。" type="5" refreshedVersion="8" background="1" saveData="1">
    <dbPr connection="Provider=Microsoft.Mashup.OleDb.1;Data Source=$Workbook$;Location=&quot;Table 3 (34)&quot;;Extended Properties=&quot;&quot;" command="SELECT * FROM [Table 3 (34)]"/>
  </connection>
  <connection id="27" xr16:uid="{0D4A6A05-6E5B-4965-8A95-0C2485E0B07A}" keepAlive="1" name="クエリ - Table 3 (35)" description="ブック内の 'Table 3 (35)' クエリへの接続です。" type="5" refreshedVersion="8" background="1" saveData="1">
    <dbPr connection="Provider=Microsoft.Mashup.OleDb.1;Data Source=$Workbook$;Location=&quot;Table 3 (35)&quot;;Extended Properties=&quot;&quot;" command="SELECT * FROM [Table 3 (35)]"/>
  </connection>
  <connection id="28" xr16:uid="{A7B07713-00C4-4892-A796-A8938D2A4F65}" keepAlive="1" name="クエリ - Table 3 (36)" description="ブック内の 'Table 3 (36)' クエリへの接続です。" type="5" refreshedVersion="8" background="1" saveData="1">
    <dbPr connection="Provider=Microsoft.Mashup.OleDb.1;Data Source=$Workbook$;Location=&quot;Table 3 (36)&quot;;Extended Properties=&quot;&quot;" command="SELECT * FROM [Table 3 (36)]"/>
  </connection>
  <connection id="29" xr16:uid="{C3B7EA04-0FA9-4840-9156-A7C81F662A74}" keepAlive="1" name="クエリ - Table 3 (37)" description="ブック内の 'Table 3 (37)' クエリへの接続です。" type="5" refreshedVersion="8" background="1" saveData="1">
    <dbPr connection="Provider=Microsoft.Mashup.OleDb.1;Data Source=$Workbook$;Location=&quot;Table 3 (37)&quot;;Extended Properties=&quot;&quot;" command="SELECT * FROM [Table 3 (37)]"/>
  </connection>
  <connection id="30" xr16:uid="{3D7F0046-D826-4677-B8E6-2DD830DB01D7}" keepAlive="1" name="クエリ - Table 3 (38)" description="ブック内の 'Table 3 (38)' クエリへの接続です。" type="5" refreshedVersion="8" background="1" saveData="1">
    <dbPr connection="Provider=Microsoft.Mashup.OleDb.1;Data Source=$Workbook$;Location=&quot;Table 3 (38)&quot;;Extended Properties=&quot;&quot;" command="SELECT * FROM [Table 3 (38)]"/>
  </connection>
  <connection id="31" xr16:uid="{D95B5317-AB5F-4BB7-BFEC-8E4CC14D01E4}" keepAlive="1" name="クエリ - Table 3 (39)" description="ブック内の 'Table 3 (39)' クエリへの接続です。" type="5" refreshedVersion="0" background="1">
    <dbPr connection="Provider=Microsoft.Mashup.OleDb.1;Data Source=$Workbook$;Location=&quot;Table 3 (39)&quot;;Extended Properties=&quot;&quot;" command="SELECT * FROM [Table 3 (39)]"/>
  </connection>
  <connection id="32" xr16:uid="{00000000-0015-0000-FFFF-FFFF08000000}" keepAlive="1" name="クエリ - Table 3 (4)" description="ブック内の 'Table 3 (4)' クエリへの接続です。" type="5" refreshedVersion="8" background="1" saveData="1">
    <dbPr connection="Provider=Microsoft.Mashup.OleDb.1;Data Source=$Workbook$;Location=&quot;Table 3 (4)&quot;;Extended Properties=&quot;&quot;" command="SELECT * FROM [Table 3 (4)]"/>
  </connection>
  <connection id="33" xr16:uid="{3E8A2834-A264-4926-9CC7-F3D329839317}" keepAlive="1" name="クエリ - Table 3 (40)" description="ブック内の 'Table 3 (40)' クエリへの接続です。" type="5" refreshedVersion="8" background="1" saveData="1">
    <dbPr connection="Provider=Microsoft.Mashup.OleDb.1;Data Source=$Workbook$;Location=&quot;Table 3 (40)&quot;;Extended Properties=&quot;&quot;" command="SELECT * FROM [Table 3 (40)]"/>
  </connection>
  <connection id="34" xr16:uid="{0C3944EF-E0CC-4A8C-84AA-0B82D6653D85}" keepAlive="1" name="クエリ - Table 3 (41)" description="ブック内の 'Table 3 (41)' クエリへの接続です。" type="5" refreshedVersion="8" background="1" saveData="1">
    <dbPr connection="Provider=Microsoft.Mashup.OleDb.1;Data Source=$Workbook$;Location=&quot;Table 3 (41)&quot;;Extended Properties=&quot;&quot;" command="SELECT * FROM [Table 3 (41)]"/>
  </connection>
  <connection id="35" xr16:uid="{1714E083-43AA-4694-B263-134E90E36B66}" keepAlive="1" name="クエリ - Table 3 (42)" description="ブック内の 'Table 3 (42)' クエリへの接続です。" type="5" refreshedVersion="8" background="1" saveData="1">
    <dbPr connection="Provider=Microsoft.Mashup.OleDb.1;Data Source=$Workbook$;Location=&quot;Table 3 (42)&quot;;Extended Properties=&quot;&quot;" command="SELECT * FROM [Table 3 (42)]"/>
  </connection>
  <connection id="36" xr16:uid="{D71BE0F1-CAB7-4A33-907C-8F8851146D48}" keepAlive="1" name="クエリ - Table 3 (43)" description="ブック内の 'Table 3 (43)' クエリへの接続です。" type="5" refreshedVersion="0" background="1">
    <dbPr connection="Provider=Microsoft.Mashup.OleDb.1;Data Source=$Workbook$;Location=&quot;Table 3 (43)&quot;;Extended Properties=&quot;&quot;" command="SELECT * FROM [Table 3 (43)]"/>
  </connection>
  <connection id="37" xr16:uid="{044A3C8E-03A8-4B2C-86FF-586DDE5D3C13}" keepAlive="1" name="クエリ - Table 3 (44)" description="ブック内の 'Table 3 (44)' クエリへの接続です。" type="5" refreshedVersion="8" background="1" saveData="1">
    <dbPr connection="Provider=Microsoft.Mashup.OleDb.1;Data Source=$Workbook$;Location=&quot;Table 3 (44)&quot;;Extended Properties=&quot;&quot;" command="SELECT * FROM [Table 3 (44)]"/>
  </connection>
  <connection id="38" xr16:uid="{9441CB51-2FCB-4D67-B7BB-ACB4516A2F42}" keepAlive="1" name="クエリ - Table 3 (45)" description="ブック内の 'Table 3 (45)' クエリへの接続です。" type="5" refreshedVersion="8" background="1" saveData="1">
    <dbPr connection="Provider=Microsoft.Mashup.OleDb.1;Data Source=$Workbook$;Location=&quot;Table 3 (45)&quot;;Extended Properties=&quot;&quot;" command="SELECT * FROM [Table 3 (45)]"/>
  </connection>
  <connection id="39" xr16:uid="{1CDB8E65-1689-402A-B03C-C1609D040FA1}" keepAlive="1" name="クエリ - Table 3 (46)" description="ブック内の 'Table 3 (46)' クエリへの接続です。" type="5" refreshedVersion="8" background="1" saveData="1">
    <dbPr connection="Provider=Microsoft.Mashup.OleDb.1;Data Source=$Workbook$;Location=&quot;Table 3 (46)&quot;;Extended Properties=&quot;&quot;" command="SELECT * FROM [Table 3 (46)]"/>
  </connection>
  <connection id="40" xr16:uid="{EBC09895-E0C2-4FEB-837A-191072F1BFE8}" keepAlive="1" name="クエリ - Table 3 (47)" description="ブック内の 'Table 3 (47)' クエリへの接続です。" type="5" refreshedVersion="0" background="1">
    <dbPr connection="Provider=Microsoft.Mashup.OleDb.1;Data Source=$Workbook$;Location=&quot;Table 3 (47)&quot;;Extended Properties=&quot;&quot;" command="SELECT * FROM [Table 3 (47)]"/>
  </connection>
  <connection id="41" xr16:uid="{6C6798D4-B054-4576-9333-829ED85B7AE1}" keepAlive="1" name="クエリ - Table 3 (48)" description="ブック内の 'Table 3 (48)' クエリへの接続です。" type="5" refreshedVersion="8" background="1" saveData="1">
    <dbPr connection="Provider=Microsoft.Mashup.OleDb.1;Data Source=$Workbook$;Location=&quot;Table 3 (48)&quot;;Extended Properties=&quot;&quot;" command="SELECT * FROM [Table 3 (48)]"/>
  </connection>
  <connection id="42" xr16:uid="{ED3463E4-9D92-46BD-BE53-E246E580EFFB}" keepAlive="1" name="クエリ - Table 3 (49)" description="ブック内の 'Table 3 (49)' クエリへの接続です。" type="5" refreshedVersion="8" background="1" saveData="1">
    <dbPr connection="Provider=Microsoft.Mashup.OleDb.1;Data Source=$Workbook$;Location=&quot;Table 3 (49)&quot;;Extended Properties=&quot;&quot;" command="SELECT * FROM [Table 3 (49)]"/>
  </connection>
  <connection id="43" xr16:uid="{00000000-0015-0000-FFFF-FFFF09000000}" keepAlive="1" name="クエリ - Table 3 (5)" description="ブック内の 'Table 3 (5)' クエリへの接続です。" type="5" refreshedVersion="8" background="1" saveData="1">
    <dbPr connection="Provider=Microsoft.Mashup.OleDb.1;Data Source=$Workbook$;Location=&quot;Table 3 (5)&quot;;Extended Properties=&quot;&quot;" command="SELECT * FROM [Table 3 (5)]"/>
  </connection>
  <connection id="44" xr16:uid="{2DE8387B-4D55-4A60-931A-2428019F495E}" keepAlive="1" name="クエリ - Table 3 (50)" description="ブック内の 'Table 3 (50)' クエリへの接続です。" type="5" refreshedVersion="8" background="1" saveData="1">
    <dbPr connection="Provider=Microsoft.Mashup.OleDb.1;Data Source=$Workbook$;Location=&quot;Table 3 (50)&quot;;Extended Properties=&quot;&quot;" command="SELECT * FROM [Table 3 (50)]"/>
  </connection>
  <connection id="45" xr16:uid="{7F7B5444-DE18-4398-B0CA-217250B9FCF4}" keepAlive="1" name="クエリ - Table 3 (51)" description="ブック内の 'Table 3 (51)' クエリへの接続です。" type="5" refreshedVersion="0" background="1">
    <dbPr connection="Provider=Microsoft.Mashup.OleDb.1;Data Source=$Workbook$;Location=&quot;Table 3 (51)&quot;;Extended Properties=&quot;&quot;" command="SELECT * FROM [Table 3 (51)]"/>
  </connection>
  <connection id="46" xr16:uid="{F9CEF165-5BD4-4BA9-A76D-DD931EE26B40}" keepAlive="1" name="クエリ - Table 3 (52)" description="ブック内の 'Table 3 (52)' クエリへの接続です。" type="5" refreshedVersion="8" background="1" saveData="1">
    <dbPr connection="Provider=Microsoft.Mashup.OleDb.1;Data Source=$Workbook$;Location=&quot;Table 3 (52)&quot;;Extended Properties=&quot;&quot;" command="SELECT * FROM [Table 3 (52)]"/>
  </connection>
  <connection id="47" xr16:uid="{63A81AD9-0308-409F-A920-7FF919C71A6B}" keepAlive="1" name="クエリ - Table 3 (53)" description="ブック内の 'Table 3 (53)' クエリへの接続です。" type="5" refreshedVersion="8" background="1" saveData="1">
    <dbPr connection="Provider=Microsoft.Mashup.OleDb.1;Data Source=$Workbook$;Location=&quot;Table 3 (53)&quot;;Extended Properties=&quot;&quot;" command="SELECT * FROM [Table 3 (53)]"/>
  </connection>
  <connection id="48" xr16:uid="{A53EFC76-213A-4881-BDBC-9CBA0B986614}" keepAlive="1" name="クエリ - Table 3 (54)" description="ブック内の 'Table 3 (54)' クエリへの接続です。" type="5" refreshedVersion="8" background="1" saveData="1">
    <dbPr connection="Provider=Microsoft.Mashup.OleDb.1;Data Source=$Workbook$;Location=&quot;Table 3 (54)&quot;;Extended Properties=&quot;&quot;" command="SELECT * FROM [Table 3 (54)]"/>
  </connection>
  <connection id="49" xr16:uid="{D3CF9B5C-9D7D-4794-BEC1-6743F9CB0611}" keepAlive="1" name="クエリ - Table 3 (55)" description="ブック内の 'Table 3 (55)' クエリへの接続です。" type="5" refreshedVersion="0" background="1">
    <dbPr connection="Provider=Microsoft.Mashup.OleDb.1;Data Source=$Workbook$;Location=&quot;Table 3 (55)&quot;;Extended Properties=&quot;&quot;" command="SELECT * FROM [Table 3 (55)]"/>
  </connection>
  <connection id="50" xr16:uid="{A1540960-9E11-4465-BB2F-7A13C34D06C9}" keepAlive="1" name="クエリ - Table 3 (56)" description="ブック内の 'Table 3 (56)' クエリへの接続です。" type="5" refreshedVersion="8" background="1" saveData="1">
    <dbPr connection="Provider=Microsoft.Mashup.OleDb.1;Data Source=$Workbook$;Location=&quot;Table 3 (56)&quot;;Extended Properties=&quot;&quot;" command="SELECT * FROM [Table 3 (56)]"/>
  </connection>
  <connection id="51" xr16:uid="{CEF73C73-578B-4672-B688-03089AFFF831}" keepAlive="1" name="クエリ - Table 3 (57)" description="ブック内の 'Table 3 (57)' クエリへの接続です。" type="5" refreshedVersion="8" background="1" saveData="1">
    <dbPr connection="Provider=Microsoft.Mashup.OleDb.1;Data Source=$Workbook$;Location=&quot;Table 3 (57)&quot;;Extended Properties=&quot;&quot;" command="SELECT * FROM [Table 3 (57)]"/>
  </connection>
  <connection id="52" xr16:uid="{F8353580-F12A-49C9-A1B0-E2DC70758AA5}" keepAlive="1" name="クエリ - Table 3 (58)" description="ブック内の 'Table 3 (58)' クエリへの接続です。" type="5" refreshedVersion="8" background="1" saveData="1">
    <dbPr connection="Provider=Microsoft.Mashup.OleDb.1;Data Source=$Workbook$;Location=&quot;Table 3 (58)&quot;;Extended Properties=&quot;&quot;" command="SELECT * FROM [Table 3 (58)]"/>
  </connection>
  <connection id="53" xr16:uid="{6F2A582B-139A-408D-8A3F-AF9218616E11}" keepAlive="1" name="クエリ - Table 3 (59)" description="ブック内の 'Table 3 (59)' クエリへの接続です。" type="5" refreshedVersion="0" background="1">
    <dbPr connection="Provider=Microsoft.Mashup.OleDb.1;Data Source=$Workbook$;Location=&quot;Table 3 (59)&quot;;Extended Properties=&quot;&quot;" command="SELECT * FROM [Table 3 (59)]"/>
  </connection>
  <connection id="54" xr16:uid="{00000000-0015-0000-FFFF-FFFF0A000000}" keepAlive="1" name="クエリ - Table 3 (6)" description="ブック内の 'Table 3 (6)' クエリへの接続です。" type="5" refreshedVersion="8" background="1" saveData="1">
    <dbPr connection="Provider=Microsoft.Mashup.OleDb.1;Data Source=$Workbook$;Location=&quot;Table 3 (6)&quot;;Extended Properties=&quot;&quot;" command="SELECT * FROM [Table 3 (6)]"/>
  </connection>
  <connection id="55" xr16:uid="{6D322BA9-22CA-4EDE-9A6E-5578919B3227}" keepAlive="1" name="クエリ - Table 3 (60)" description="ブック内の 'Table 3 (60)' クエリへの接続です。" type="5" refreshedVersion="8" background="1" saveData="1">
    <dbPr connection="Provider=Microsoft.Mashup.OleDb.1;Data Source=$Workbook$;Location=&quot;Table 3 (60)&quot;;Extended Properties=&quot;&quot;" command="SELECT * FROM [Table 3 (60)]"/>
  </connection>
  <connection id="56" xr16:uid="{92A15584-4775-4A0F-805C-71FAC8A438A8}" keepAlive="1" name="クエリ - Table 3 (61)" description="ブック内の 'Table 3 (61)' クエリへの接続です。" type="5" refreshedVersion="8" background="1" saveData="1">
    <dbPr connection="Provider=Microsoft.Mashup.OleDb.1;Data Source=$Workbook$;Location=&quot;Table 3 (61)&quot;;Extended Properties=&quot;&quot;" command="SELECT * FROM [Table 3 (61)]"/>
  </connection>
  <connection id="57" xr16:uid="{094B29CD-E7A5-4E46-B477-8DCBF892703D}" keepAlive="1" name="クエリ - Table 3 (62)" description="ブック内の 'Table 3 (62)' クエリへの接続です。" type="5" refreshedVersion="8" background="1" saveData="1">
    <dbPr connection="Provider=Microsoft.Mashup.OleDb.1;Data Source=$Workbook$;Location=&quot;Table 3 (62)&quot;;Extended Properties=&quot;&quot;" command="SELECT * FROM [Table 3 (62)]"/>
  </connection>
  <connection id="58" xr16:uid="{FF7ADC95-B0EE-4B27-A1AA-F5EE285A2A78}" keepAlive="1" name="クエリ - Table 3 (63)" description="ブック内の 'Table 3 (63)' クエリへの接続です。" type="5" refreshedVersion="0" background="1">
    <dbPr connection="Provider=Microsoft.Mashup.OleDb.1;Data Source=$Workbook$;Location=&quot;Table 3 (63)&quot;;Extended Properties=&quot;&quot;" command="SELECT * FROM [Table 3 (63)]"/>
  </connection>
  <connection id="59" xr16:uid="{9E3C50A5-DF4A-4989-9A02-D97A840BC531}" keepAlive="1" name="クエリ - Table 3 (64)" description="ブック内の 'Table 3 (64)' クエリへの接続です。" type="5" refreshedVersion="8" background="1" saveData="1">
    <dbPr connection="Provider=Microsoft.Mashup.OleDb.1;Data Source=$Workbook$;Location=&quot;Table 3 (64)&quot;;Extended Properties=&quot;&quot;" command="SELECT * FROM [Table 3 (64)]"/>
  </connection>
  <connection id="60" xr16:uid="{46E3448E-73B0-4D62-B62D-2E55B157E580}" keepAlive="1" name="クエリ - Table 3 (65)" description="ブック内の 'Table 3 (65)' クエリへの接続です。" type="5" refreshedVersion="8" background="1" saveData="1">
    <dbPr connection="Provider=Microsoft.Mashup.OleDb.1;Data Source=$Workbook$;Location=&quot;Table 3 (65)&quot;;Extended Properties=&quot;&quot;" command="SELECT * FROM [Table 3 (65)]"/>
  </connection>
  <connection id="61" xr16:uid="{54F3CD74-7489-4FB7-8D70-565154485148}" keepAlive="1" name="クエリ - Table 3 (66)" description="ブック内の 'Table 3 (66)' クエリへの接続です。" type="5" refreshedVersion="8" background="1" saveData="1">
    <dbPr connection="Provider=Microsoft.Mashup.OleDb.1;Data Source=$Workbook$;Location=&quot;Table 3 (66)&quot;;Extended Properties=&quot;&quot;" command="SELECT * FROM [Table 3 (66)]"/>
  </connection>
  <connection id="62" xr16:uid="{AADF24EB-F9B8-4687-B471-60BB18F0F795}" keepAlive="1" name="クエリ - Table 3 (67)" description="ブック内の 'Table 3 (67)' クエリへの接続です。" type="5" refreshedVersion="0" background="1">
    <dbPr connection="Provider=Microsoft.Mashup.OleDb.1;Data Source=$Workbook$;Location=&quot;Table 3 (67)&quot;;Extended Properties=&quot;&quot;" command="SELECT * FROM [Table 3 (67)]"/>
  </connection>
  <connection id="63" xr16:uid="{7B264E4C-3731-4571-9220-7CFF494EF746}" keepAlive="1" name="クエリ - Table 3 (68)" description="ブック内の 'Table 3 (68)' クエリへの接続です。" type="5" refreshedVersion="8" background="1" saveData="1">
    <dbPr connection="Provider=Microsoft.Mashup.OleDb.1;Data Source=$Workbook$;Location=&quot;Table 3 (68)&quot;;Extended Properties=&quot;&quot;" command="SELECT * FROM [Table 3 (68)]"/>
  </connection>
  <connection id="64" xr16:uid="{7DB00DCD-0E5C-4F71-823F-0F0265165258}" keepAlive="1" name="クエリ - Table 3 (69)" description="ブック内の 'Table 3 (69)' クエリへの接続です。" type="5" refreshedVersion="8" background="1" saveData="1">
    <dbPr connection="Provider=Microsoft.Mashup.OleDb.1;Data Source=$Workbook$;Location=&quot;Table 3 (69)&quot;;Extended Properties=&quot;&quot;" command="SELECT * FROM [Table 3 (69)]"/>
  </connection>
  <connection id="65" xr16:uid="{00000000-0015-0000-FFFF-FFFF0B000000}" keepAlive="1" name="クエリ - Table 3 (7)" description="ブック内の 'Table 3 (7)' クエリへの接続です。" type="5" refreshedVersion="8" background="1" saveData="1">
    <dbPr connection="Provider=Microsoft.Mashup.OleDb.1;Data Source=$Workbook$;Location=&quot;Table 3 (7)&quot;;Extended Properties=&quot;&quot;" command="SELECT * FROM [Table 3 (7)]"/>
  </connection>
  <connection id="66" xr16:uid="{02665DCA-91FA-49E0-812F-867079DA84F1}" keepAlive="1" name="クエリ - Table 3 (70)" description="ブック内の 'Table 3 (70)' クエリへの接続です。" type="5" refreshedVersion="8" background="1" saveData="1">
    <dbPr connection="Provider=Microsoft.Mashup.OleDb.1;Data Source=$Workbook$;Location=&quot;Table 3 (70)&quot;;Extended Properties=&quot;&quot;" command="SELECT * FROM [Table 3 (70)]"/>
  </connection>
  <connection id="67" xr16:uid="{05376101-A942-48DB-A9DC-EE975F683E71}" keepAlive="1" name="クエリ - Table 3 (71)" description="ブック内の 'Table 3 (71)' クエリへの接続です。" type="5" refreshedVersion="0" background="1">
    <dbPr connection="Provider=Microsoft.Mashup.OleDb.1;Data Source=$Workbook$;Location=&quot;Table 3 (71)&quot;;Extended Properties=&quot;&quot;" command="SELECT * FROM [Table 3 (71)]"/>
  </connection>
  <connection id="68" xr16:uid="{E993DDB2-F288-42A6-B4C7-F11FD2B0C5EC}" keepAlive="1" name="クエリ - Table 3 (72)" description="ブック内の 'Table 3 (72)' クエリへの接続です。" type="5" refreshedVersion="8" background="1" saveData="1">
    <dbPr connection="Provider=Microsoft.Mashup.OleDb.1;Data Source=$Workbook$;Location=&quot;Table 3 (72)&quot;;Extended Properties=&quot;&quot;" command="SELECT * FROM [Table 3 (72)]"/>
  </connection>
  <connection id="69" xr16:uid="{BD82E985-EB16-448F-9B80-02E0A82917FB}" keepAlive="1" name="クエリ - Table 3 (73)" description="ブック内の 'Table 3 (73)' クエリへの接続です。" type="5" refreshedVersion="8" background="1" saveData="1">
    <dbPr connection="Provider=Microsoft.Mashup.OleDb.1;Data Source=$Workbook$;Location=&quot;Table 3 (73)&quot;;Extended Properties=&quot;&quot;" command="SELECT * FROM [Table 3 (73)]"/>
  </connection>
  <connection id="70" xr16:uid="{88795861-4768-404F-9CD8-BE4BABEDAB7C}" keepAlive="1" name="クエリ - Table 3 (74)" description="ブック内の 'Table 3 (74)' クエリへの接続です。" type="5" refreshedVersion="8" background="1" saveData="1">
    <dbPr connection="Provider=Microsoft.Mashup.OleDb.1;Data Source=$Workbook$;Location=&quot;Table 3 (74)&quot;;Extended Properties=&quot;&quot;" command="SELECT * FROM [Table 3 (74)]"/>
  </connection>
  <connection id="71" xr16:uid="{8305E397-9ADD-4431-AE59-D9F970D938A7}" keepAlive="1" name="クエリ - Table 3 (75)" description="ブック内の 'Table 3 (75)' クエリへの接続です。" type="5" refreshedVersion="0" background="1">
    <dbPr connection="Provider=Microsoft.Mashup.OleDb.1;Data Source=$Workbook$;Location=&quot;Table 3 (75)&quot;;Extended Properties=&quot;&quot;" command="SELECT * FROM [Table 3 (75)]"/>
  </connection>
  <connection id="72" xr16:uid="{6ECB0029-D7D2-4B83-B3E6-CF749B6B124C}" keepAlive="1" name="クエリ - Table 3 (76)" description="ブック内の 'Table 3 (76)' クエリへの接続です。" type="5" refreshedVersion="8" background="1" saveData="1">
    <dbPr connection="Provider=Microsoft.Mashup.OleDb.1;Data Source=$Workbook$;Location=&quot;Table 3 (76)&quot;;Extended Properties=&quot;&quot;" command="SELECT * FROM [Table 3 (76)]"/>
  </connection>
  <connection id="73" xr16:uid="{4B2808B6-18E7-4A3C-AE71-1679BDC636B2}" keepAlive="1" name="クエリ - Table 3 (77)" description="ブック内の 'Table 3 (77)' クエリへの接続です。" type="5" refreshedVersion="0" background="1">
    <dbPr connection="Provider=Microsoft.Mashup.OleDb.1;Data Source=$Workbook$;Location=&quot;Table 3 (77)&quot;;Extended Properties=&quot;&quot;" command="SELECT * FROM [Table 3 (77)]"/>
  </connection>
  <connection id="74" xr16:uid="{FEEBCF10-25D6-4180-933D-EFF8040962BB}" keepAlive="1" name="クエリ - Table 3 (78)" description="ブック内の 'Table 3 (78)' クエリへの接続です。" type="5" refreshedVersion="8" background="1" saveData="1">
    <dbPr connection="Provider=Microsoft.Mashup.OleDb.1;Data Source=$Workbook$;Location=&quot;Table 3 (78)&quot;;Extended Properties=&quot;&quot;" command="SELECT * FROM [Table 3 (78)]"/>
  </connection>
  <connection id="75" xr16:uid="{8CD6D0C9-495E-4ABA-B561-19D254C678A4}" keepAlive="1" name="クエリ - Table 3 (79)" description="ブック内の 'Table 3 (79)' クエリへの接続です。" type="5" refreshedVersion="8" background="1" saveData="1">
    <dbPr connection="Provider=Microsoft.Mashup.OleDb.1;Data Source=$Workbook$;Location=&quot;Table 3 (79)&quot;;Extended Properties=&quot;&quot;" command="SELECT * FROM [Table 3 (79)]"/>
  </connection>
  <connection id="76" xr16:uid="{00000000-0015-0000-FFFF-FFFF0C000000}" keepAlive="1" name="クエリ - Table 3 (8)" description="ブック内の 'Table 3 (8)' クエリへの接続です。" type="5" refreshedVersion="8" background="1" saveData="1">
    <dbPr connection="Provider=Microsoft.Mashup.OleDb.1;Data Source=$Workbook$;Location=&quot;Table 3 (8)&quot;;Extended Properties=&quot;&quot;" command="SELECT * FROM [Table 3 (8)]"/>
  </connection>
  <connection id="77" xr16:uid="{C9EC232A-D1C2-4573-8DDA-AAB85115219B}" keepAlive="1" name="クエリ - Table 3 (80)" description="ブック内の 'Table 3 (80)' クエリへの接続です。" type="5" refreshedVersion="8" background="1" saveData="1">
    <dbPr connection="Provider=Microsoft.Mashup.OleDb.1;Data Source=$Workbook$;Location=&quot;Table 3 (80)&quot;;Extended Properties=&quot;&quot;" command="SELECT * FROM [Table 3 (80)]"/>
  </connection>
  <connection id="78" xr16:uid="{00000000-0015-0000-FFFF-FFFF0D000000}" keepAlive="1" name="クエリ - Table 3 (9)" description="ブック内の 'Table 3 (9)' クエリへの接続です。" type="5" refreshedVersion="0" background="1">
    <dbPr connection="Provider=Microsoft.Mashup.OleDb.1;Data Source=$Workbook$;Location=&quot;Table 3 (9)&quot;;Extended Properties=&quot;&quot;" command="SELECT * FROM [Table 3 (9)]"/>
  </connection>
  <connection id="79" xr16:uid="{4005F21F-CBFE-45CD-917B-2A149EB46346}" keepAlive="1" name="クエリ - テーブル 5" description="ブック内の 'テーブル 5' クエリへの接続です。" type="5" refreshedVersion="8" background="1" saveData="1">
    <dbPr connection="Provider=Microsoft.Mashup.OleDb.1;Data Source=$Workbook$;Location=&quot;テーブル 5&quot;;Extended Properties=&quot;&quot;" command="SELECT * FROM [テーブル 5]"/>
  </connection>
  <connection id="80" xr16:uid="{26F84E0A-2BC1-4657-927E-D1C020CF38C5}" keepAlive="1" name="クエリ - テーブル 5 (10)" description="ブック内の 'テーブル 5 (10)' クエリへの接続です。" type="5" refreshedVersion="8" background="1" saveData="1">
    <dbPr connection="Provider=Microsoft.Mashup.OleDb.1;Data Source=$Workbook$;Location=&quot;テーブル 5 (10)&quot;;Extended Properties=&quot;&quot;" command="SELECT * FROM [テーブル 5 (10)]"/>
  </connection>
  <connection id="81" xr16:uid="{5ABDF216-6D52-4542-A11F-70448CE407E0}" keepAlive="1" name="クエリ - テーブル 5 (11)" description="ブック内の 'テーブル 5 (11)' クエリへの接続です。" type="5" refreshedVersion="0" background="1">
    <dbPr connection="Provider=Microsoft.Mashup.OleDb.1;Data Source=$Workbook$;Location=&quot;テーブル 5 (11)&quot;;Extended Properties=&quot;&quot;" command="SELECT * FROM [テーブル 5 (11)]"/>
  </connection>
  <connection id="82" xr16:uid="{56DF7559-F31D-45FE-AC4A-A282EF63CCC2}" keepAlive="1" name="クエリ - テーブル 5 (12)" description="ブック内の 'テーブル 5 (12)' クエリへの接続です。" type="5" refreshedVersion="8" background="1" saveData="1">
    <dbPr connection="Provider=Microsoft.Mashup.OleDb.1;Data Source=$Workbook$;Location=&quot;テーブル 5 (12)&quot;;Extended Properties=&quot;&quot;" command="SELECT * FROM [テーブル 5 (12)]"/>
  </connection>
  <connection id="83" xr16:uid="{AFB6CB50-54F7-4C28-ABE3-DDC509A650DB}" keepAlive="1" name="クエリ - テーブル 5 (13)" description="ブック内の 'テーブル 5 (13)' クエリへの接続です。" type="5" refreshedVersion="8" background="1" saveData="1">
    <dbPr connection="Provider=Microsoft.Mashup.OleDb.1;Data Source=$Workbook$;Location=&quot;テーブル 5 (13)&quot;;Extended Properties=&quot;&quot;" command="SELECT * FROM [テーブル 5 (13)]"/>
  </connection>
  <connection id="84" xr16:uid="{9ABB352C-0CCD-4E59-B88E-02E96DE307EE}" keepAlive="1" name="クエリ - テーブル 5 (14)" description="ブック内の 'テーブル 5 (14)' クエリへの接続です。" type="5" refreshedVersion="8" background="1" saveData="1">
    <dbPr connection="Provider=Microsoft.Mashup.OleDb.1;Data Source=$Workbook$;Location=&quot;テーブル 5 (14)&quot;;Extended Properties=&quot;&quot;" command="SELECT * FROM [テーブル 5 (14)]"/>
  </connection>
  <connection id="85" xr16:uid="{9CC89927-069A-4C2A-ADC9-326F77EB1429}" keepAlive="1" name="クエリ - テーブル 5 (15)" description="ブック内の 'テーブル 5 (15)' クエリへの接続です。" type="5" refreshedVersion="0" background="1">
    <dbPr connection="Provider=Microsoft.Mashup.OleDb.1;Data Source=$Workbook$;Location=&quot;テーブル 5 (15)&quot;;Extended Properties=&quot;&quot;" command="SELECT * FROM [テーブル 5 (15)]"/>
  </connection>
  <connection id="86" xr16:uid="{93E48093-F915-4882-BAC3-C964F603F1C7}" keepAlive="1" name="クエリ - テーブル 5 (16)" description="ブック内の 'テーブル 5 (16)' クエリへの接続です。" type="5" refreshedVersion="8" background="1" saveData="1">
    <dbPr connection="Provider=Microsoft.Mashup.OleDb.1;Data Source=$Workbook$;Location=&quot;テーブル 5 (16)&quot;;Extended Properties=&quot;&quot;" command="SELECT * FROM [テーブル 5 (16)]"/>
  </connection>
  <connection id="87" xr16:uid="{B31EBC3B-614B-4885-A0E6-3E57C6664771}" keepAlive="1" name="クエリ - テーブル 5 (17)" description="ブック内の 'テーブル 5 (17)' クエリへの接続です。" type="5" refreshedVersion="8" background="1" saveData="1">
    <dbPr connection="Provider=Microsoft.Mashup.OleDb.1;Data Source=$Workbook$;Location=&quot;テーブル 5 (17)&quot;;Extended Properties=&quot;&quot;" command="SELECT * FROM [テーブル 5 (17)]"/>
  </connection>
  <connection id="88" xr16:uid="{7960DE4F-875B-408F-993F-40DB66B61398}" keepAlive="1" name="クエリ - テーブル 5 (18)" description="ブック内の 'テーブル 5 (18)' クエリへの接続です。" type="5" refreshedVersion="8" background="1" saveData="1">
    <dbPr connection="Provider=Microsoft.Mashup.OleDb.1;Data Source=$Workbook$;Location=&quot;テーブル 5 (18)&quot;;Extended Properties=&quot;&quot;" command="SELECT * FROM [テーブル 5 (18)]"/>
  </connection>
  <connection id="89" xr16:uid="{C8E55768-5433-4125-ADA9-8535EF84ECED}" keepAlive="1" name="クエリ - テーブル 5 (19)" description="ブック内の 'テーブル 5 (19)' クエリへの接続です。" type="5" refreshedVersion="0" background="1">
    <dbPr connection="Provider=Microsoft.Mashup.OleDb.1;Data Source=$Workbook$;Location=&quot;テーブル 5 (19)&quot;;Extended Properties=&quot;&quot;" command="SELECT * FROM [テーブル 5 (19)]"/>
  </connection>
  <connection id="90" xr16:uid="{DF72AB92-0560-4939-B906-6C6A070C3B1D}" keepAlive="1" name="クエリ - テーブル 5 (2)" description="ブック内の 'テーブル 5 (2)' クエリへの接続です。" type="5" refreshedVersion="8" background="1" saveData="1">
    <dbPr connection="Provider=Microsoft.Mashup.OleDb.1;Data Source=$Workbook$;Location=&quot;テーブル 5 (2)&quot;;Extended Properties=&quot;&quot;" command="SELECT * FROM [テーブル 5 (2)]"/>
  </connection>
  <connection id="91" xr16:uid="{79F63E29-B41C-4785-B5C8-39BE2C61A022}" keepAlive="1" name="クエリ - テーブル 5 (20)" description="ブック内の 'テーブル 5 (20)' クエリへの接続です。" type="5" refreshedVersion="8" background="1" saveData="1">
    <dbPr connection="Provider=Microsoft.Mashup.OleDb.1;Data Source=$Workbook$;Location=&quot;テーブル 5 (20)&quot;;Extended Properties=&quot;&quot;" command="SELECT * FROM [テーブル 5 (20)]"/>
  </connection>
  <connection id="92" xr16:uid="{C5F0CE8E-5236-4C12-9938-A5A579A166BD}" keepAlive="1" name="クエリ - テーブル 5 (21)" description="ブック内の 'テーブル 5 (21)' クエリへの接続です。" type="5" refreshedVersion="8" background="1" saveData="1">
    <dbPr connection="Provider=Microsoft.Mashup.OleDb.1;Data Source=$Workbook$;Location=&quot;テーブル 5 (21)&quot;;Extended Properties=&quot;&quot;" command="SELECT * FROM [テーブル 5 (21)]"/>
  </connection>
  <connection id="93" xr16:uid="{A0703D91-F949-43E0-AAEB-CCBE3165516D}" keepAlive="1" name="クエリ - テーブル 5 (22)" description="ブック内の 'テーブル 5 (22)' クエリへの接続です。" type="5" refreshedVersion="8" background="1" saveData="1">
    <dbPr connection="Provider=Microsoft.Mashup.OleDb.1;Data Source=$Workbook$;Location=&quot;テーブル 5 (22)&quot;;Extended Properties=&quot;&quot;" command="SELECT * FROM [テーブル 5 (22)]"/>
  </connection>
  <connection id="94" xr16:uid="{46CD58C3-08F0-4E49-AA61-AB7949C5757F}" keepAlive="1" name="クエリ - テーブル 5 (23)" description="ブック内の 'テーブル 5 (23)' クエリへの接続です。" type="5" refreshedVersion="8" background="1" saveData="1">
    <dbPr connection="Provider=Microsoft.Mashup.OleDb.1;Data Source=$Workbook$;Location=&quot;テーブル 5 (23)&quot;;Extended Properties=&quot;&quot;" command="SELECT * FROM [テーブル 5 (23)]"/>
  </connection>
  <connection id="95" xr16:uid="{6FDBFA2F-ADFC-440E-976E-EB765D94B592}" keepAlive="1" name="クエリ - テーブル 5 (24)" description="ブック内の 'テーブル 5 (24)' クエリへの接続です。" type="5" refreshedVersion="8" background="1" saveData="1">
    <dbPr connection="Provider=Microsoft.Mashup.OleDb.1;Data Source=$Workbook$;Location=&quot;テーブル 5 (24)&quot;;Extended Properties=&quot;&quot;" command="SELECT * FROM [テーブル 5 (24)]"/>
  </connection>
  <connection id="96" xr16:uid="{D94BC252-1638-42E3-A1D3-7C4861AFC728}" keepAlive="1" name="クエリ - テーブル 5 (25)" description="ブック内の 'テーブル 5 (25)' クエリへの接続です。" type="5" refreshedVersion="8" background="1" saveData="1">
    <dbPr connection="Provider=Microsoft.Mashup.OleDb.1;Data Source=$Workbook$;Location=&quot;テーブル 5 (25)&quot;;Extended Properties=&quot;&quot;" command="SELECT * FROM [テーブル 5 (25)]"/>
  </connection>
  <connection id="97" xr16:uid="{13639DD2-86CB-4DA2-8DB0-7B58FC1A2F22}" keepAlive="1" name="クエリ - テーブル 5 (26)" description="ブック内の 'テーブル 5 (26)' クエリへの接続です。" type="5" refreshedVersion="8" background="1" saveData="1">
    <dbPr connection="Provider=Microsoft.Mashup.OleDb.1;Data Source=$Workbook$;Location=&quot;テーブル 5 (26)&quot;;Extended Properties=&quot;&quot;" command="SELECT * FROM [テーブル 5 (26)]"/>
  </connection>
  <connection id="98" xr16:uid="{D837CAA7-E833-46E1-810D-98B4937DDDE4}" keepAlive="1" name="クエリ - テーブル 5 (3)" description="ブック内の 'テーブル 5 (3)' クエリへの接続です。" type="5" refreshedVersion="0" background="1">
    <dbPr connection="Provider=Microsoft.Mashup.OleDb.1;Data Source=$Workbook$;Location=&quot;テーブル 5 (3)&quot;;Extended Properties=&quot;&quot;" command="SELECT * FROM [テーブル 5 (3)]"/>
  </connection>
  <connection id="99" xr16:uid="{AB12C7AD-25D5-4D0C-B276-24BD37943E4B}" keepAlive="1" name="クエリ - テーブル 5 (4)" description="ブック内の 'テーブル 5 (4)' クエリへの接続です。" type="5" refreshedVersion="8" background="1" saveData="1">
    <dbPr connection="Provider=Microsoft.Mashup.OleDb.1;Data Source=$Workbook$;Location=&quot;テーブル 5 (4)&quot;;Extended Properties=&quot;&quot;" command="SELECT * FROM [テーブル 5 (4)]"/>
  </connection>
  <connection id="100" xr16:uid="{1D9DB944-4270-41AA-8EFE-094EF4CEA550}" keepAlive="1" name="クエリ - テーブル 5 (5)" description="ブック内の 'テーブル 5 (5)' クエリへの接続です。" type="5" refreshedVersion="8" background="1" saveData="1">
    <dbPr connection="Provider=Microsoft.Mashup.OleDb.1;Data Source=$Workbook$;Location=&quot;テーブル 5 (5)&quot;;Extended Properties=&quot;&quot;" command="SELECT * FROM [テーブル 5 (5)]"/>
  </connection>
  <connection id="101" xr16:uid="{C132A259-7308-4540-B0B9-8234599F5E7B}" keepAlive="1" name="クエリ - テーブル 5 (6)" description="ブック内の 'テーブル 5 (6)' クエリへの接続です。" type="5" refreshedVersion="8" background="1" saveData="1">
    <dbPr connection="Provider=Microsoft.Mashup.OleDb.1;Data Source=$Workbook$;Location=&quot;テーブル 5 (6)&quot;;Extended Properties=&quot;&quot;" command="SELECT * FROM [テーブル 5 (6)]"/>
  </connection>
  <connection id="102" xr16:uid="{00608C06-2B00-4F10-97AD-CDE3B794B7CB}" keepAlive="1" name="クエリ - テーブル 5 (7)" description="ブック内の 'テーブル 5 (7)' クエリへの接続です。" type="5" refreshedVersion="0" background="1">
    <dbPr connection="Provider=Microsoft.Mashup.OleDb.1;Data Source=$Workbook$;Location=&quot;テーブル 5 (7)&quot;;Extended Properties=&quot;&quot;" command="SELECT * FROM [テーブル 5 (7)]"/>
  </connection>
  <connection id="103" xr16:uid="{C5162D1F-3C13-47F3-99A8-D69F0D404C31}" keepAlive="1" name="クエリ - テーブル 5 (8)" description="ブック内の 'テーブル 5 (8)' クエリへの接続です。" type="5" refreshedVersion="8" background="1" saveData="1">
    <dbPr connection="Provider=Microsoft.Mashup.OleDb.1;Data Source=$Workbook$;Location=&quot;テーブル 5 (8)&quot;;Extended Properties=&quot;&quot;" command="SELECT * FROM [テーブル 5 (8)]"/>
  </connection>
  <connection id="104" xr16:uid="{2F76004B-5DDB-4D95-A2BA-56750AE269FA}" keepAlive="1" name="クエリ - テーブル 5 (9)" description="ブック内の 'テーブル 5 (9)' クエリへの接続です。" type="5" refreshedVersion="8" background="1" saveData="1">
    <dbPr connection="Provider=Microsoft.Mashup.OleDb.1;Data Source=$Workbook$;Location=&quot;テーブル 5 (9)&quot;;Extended Properties=&quot;&quot;" command="SELECT * FROM [テーブル 5 (9)]"/>
  </connection>
</connections>
</file>

<file path=xl/sharedStrings.xml><?xml version="1.0" encoding="utf-8"?>
<sst xmlns="http://schemas.openxmlformats.org/spreadsheetml/2006/main" count="294" uniqueCount="74">
  <si>
    <t>|</t>
    <phoneticPr fontId="1"/>
  </si>
  <si>
    <t xml:space="preserve"> --- </t>
    <phoneticPr fontId="1"/>
  </si>
  <si>
    <t xml:space="preserve"> ----- </t>
    <phoneticPr fontId="1"/>
  </si>
  <si>
    <t>Composer</t>
  </si>
  <si>
    <t>Title</t>
  </si>
  <si>
    <t>Time</t>
  </si>
  <si>
    <t>Performer</t>
  </si>
  <si>
    <t>Column1</t>
  </si>
  <si>
    <t>KOTMS II (INTRO)</t>
  </si>
  <si>
    <t>Ryan Degrandy, Vero La Grande De Durango, Darius Hill, Derrick Dewayne
                  Hill, Montag Da Leadah</t>
  </si>
  <si>
    <t>Denzel Curry feat. Kingpin Skinny Pimp</t>
  </si>
  <si>
    <t>ULTRA SHXT</t>
  </si>
  <si>
    <t>K. Bailey, Kishaun Bailey, Denzel Curry, Ryan Degrandy, Vero La Grande De Durango, Darius Hill, Derrick Dewayne Hill, Nick León, Lowkey, Adam Porterfield, DJ Poshtronaut, DJ Qeys</t>
  </si>
  <si>
    <t>Denzel Curry feat. Key Nyata</t>
  </si>
  <si>
    <t>SET IT</t>
  </si>
  <si>
    <t>Denzel Curry, Darius Hill, Derrick Dewayne Hill, Emekwanem Biosah Jr.,
                  Jordan Ortiz</t>
  </si>
  <si>
    <t>Denzel Curry feat. Maxo Kream</t>
  </si>
  <si>
    <t>HOT ONE</t>
  </si>
  <si>
    <t>Paul Beauregard, Isaac de Boni, Denzel Curry, Darold Ferguson, Edgar Ferrera,
                  Darius Hill, Derrick Dewayne Hill, Nick Le?n, Julian Menkin, Michael Mule,
                  Adam Porterfield, DJ Poshtronaut, DJ Qeys, T. Thompson, Tia Thompson</t>
  </si>
  <si>
    <t>Denzel Curry feat. A$AP Ferg, TiaCorine</t>
  </si>
  <si>
    <t>ACT A DAMN FOOL</t>
  </si>
  <si>
    <t>Denzel Curry, Duke Deuce, Slim Guerilla, Finatik, Zac</t>
  </si>
  <si>
    <t>Denzel Curry feat. Duke Deuxe / Slim Guerilla</t>
  </si>
  <si>
    <t>BLACK FLAG [FREESTYLE]</t>
  </si>
  <si>
    <t>Denzel Curry, Virgil Gazca, Darius Hill, Derrick Dewayne Hill, R. Johnson,
                  Wojciech Kilar, Rasheed Thomas, Rickie Thomas</t>
  </si>
  <si>
    <t>Denzel Curry feat. That Mexican OT</t>
  </si>
  <si>
    <t>HEADCRACK (INTERLUDE)</t>
  </si>
  <si>
    <t>Darius Hill, Derrick Dewayne Hill, Nick Le?n, Julian Menkin, Muddy, DJ
                  Poshtronaut, RicoRunDat, Derelle Rideout</t>
  </si>
  <si>
    <t>G’Z UP</t>
  </si>
  <si>
    <t>Denzel Curry, Tauheed Epps, Michael Goode, Michael Goode Jr., Kanda, Derelle
                  Rideout, Andre Robertson, Robertson, Kevin Da Silva</t>
  </si>
  <si>
    <t>Denzel Curry feat. 2 Chainz, Mike Dimes</t>
  </si>
  <si>
    <t>LUNATIC (INTERLUDE)</t>
  </si>
  <si>
    <t>Paul Beauregard, Darius Hill, Derrick Dewayne Hill, Nick Le?n, Julian Menkin,
                  DJ Poshtronaut</t>
  </si>
  <si>
    <t>SKED</t>
  </si>
  <si>
    <t>Apollo Brown, Denzel Curry, Edwin Green, Jordan Houston, Patrick Houston,
                  Ernest Brown III</t>
  </si>
  <si>
    <t>Denzel Curry feat. Kenny Mason, Project Pat</t>
  </si>
  <si>
    <t>GOT ME GEEKED</t>
  </si>
  <si>
    <t>Denzel Curry, Powers Pleasant, Ben10k</t>
  </si>
  <si>
    <t>Denzel Curry</t>
  </si>
  <si>
    <t>COLE PIMP</t>
  </si>
  <si>
    <t>Kameron Cole, Denzel Curry, Elija Sostrom Fox-Peck, Tyrone Griffin, Lily
                  Honigberg, Jordan Houston, William E. Page II, Edward Page, Willis Page,
                  Ashton Sellars</t>
  </si>
  <si>
    <t>Denzel Curry feat. Ty Dolla $ign, Juicy J</t>
  </si>
  <si>
    <t>P.O.P</t>
  </si>
  <si>
    <t>Denzel Curry, Key Nyata, Sauce Walka, MAD WORLD, Mickey De Grand IV</t>
  </si>
  <si>
    <t>Denzel Curry feat. Key Nyata, Sauce Walka</t>
  </si>
  <si>
    <t>ANOTHA LATE NITE</t>
  </si>
  <si>
    <t>Denzel Curry, 454, Mickey De Grand IV</t>
  </si>
  <si>
    <t>Denzel Curry feta. 454</t>
  </si>
  <si>
    <t>WISHLIST</t>
  </si>
  <si>
    <t>Denzel Curry, Delgado, Willie Hutch, Armani White</t>
  </si>
  <si>
    <t>Denzel Curry feat. Armani White</t>
  </si>
  <si>
    <t>HIT THE FLOOR</t>
  </si>
  <si>
    <t>1xydra, Denzel Curry, Stokeley Goulbourne, Jordan Ortiz, Nelida Yew</t>
  </si>
  <si>
    <t>Denzel Curry feat. Ski Mask the Slump God</t>
  </si>
  <si>
    <t>STILL IN THE PAINT</t>
  </si>
  <si>
    <t>Denzel Curry, LAZER DIM 700, Bktherula, Charlie Heat, Waka Flocka Flame</t>
  </si>
  <si>
    <t>Denzel Curry feat. LAZER DIM 700, Btherula</t>
  </si>
  <si>
    <t>HOODLUMZ</t>
  </si>
  <si>
    <t>Denzel Curry, Kwes Darko, Darius Hill, Derrick Dewayne Hill, Jordan Houston,
                  Isaiah Loubeau, Rakim Mayers</t>
  </si>
  <si>
    <t>Denzel Curry feat. Playthatboizay, A$AP Rocky</t>
  </si>
  <si>
    <t>KOTMS II (OUTRO)</t>
  </si>
  <si>
    <t>Denzel Curry, Darius Hill, Derrick Dewayne Hill</t>
  </si>
  <si>
    <t>Ryan Degrandy, Vero La Grande De Durango, Darius Hill, Derrick Dewayne                  Hill, Montag Da Leadah</t>
    <phoneticPr fontId="1"/>
  </si>
  <si>
    <t>K. Bailey, Kishaun Bailey, Denzel Curry, Ryan Degrandy, Vero La Grande De Durango, Darius Hill, Derrick Dewayne Hill, Nick León, Lowkey, Adam Porterfield, DJ Poshtronaut, DJ Qeys</t>
    <phoneticPr fontId="1"/>
  </si>
  <si>
    <t>Denzel Curry, Darius Hill, Derrick Dewayne Hill, Emekwanem Biosah Jr.,                  Jordan Ortiz</t>
    <phoneticPr fontId="1"/>
  </si>
  <si>
    <t>Paul Beauregard, Isaac de Boni, Denzel Curry, Darold Ferguson, Edgar Ferrera,                  Darius Hill, Derrick Dewayne Hill, Nick Le?n, Julian Menkin, Michael Mule,                  Adam Porterfield, DJ Poshtronaut, DJ Qeys, T. Thompson, Tia Thompson</t>
    <phoneticPr fontId="1"/>
  </si>
  <si>
    <t>Denzel Curry, Virgil Gazca, Darius Hill, Derrick Dewayne Hill, R. Johnson,                  Wojciech Kilar, Rasheed Thomas, Rickie Thomas</t>
    <phoneticPr fontId="1"/>
  </si>
  <si>
    <t>Darius Hill, Derrick Dewayne Hill, Nick Le?n, Julian Menkin, Muddy, DJ                  Poshtronaut, RicoRunDat, Derelle Rideout</t>
    <phoneticPr fontId="1"/>
  </si>
  <si>
    <t>Denzel Curry, Tauheed Epps, Michael Goode, Michael Goode Jr., Kanda, Derelle                  Rideout, Andre Robertson, Robertson, Kevin Da Silva</t>
    <phoneticPr fontId="1"/>
  </si>
  <si>
    <t>Paul Beauregard, Darius Hill, Derrick Dewayne Hill, Nick Le?n, Julian Menkin,                  DJ Poshtronaut</t>
    <phoneticPr fontId="1"/>
  </si>
  <si>
    <t>Apollo Brown, Denzel Curry, Edwin Green, Jordan Houston, Patrick Houston,                  Ernest Brown III</t>
    <phoneticPr fontId="1"/>
  </si>
  <si>
    <t>Denzel Curry, Key Nyata, Sauce Walka, MAD WORLD, Mickey De Grand IV</t>
    <phoneticPr fontId="1"/>
  </si>
  <si>
    <t>Kameron Cole, Denzel Curry, Elija Sostrom Fox-Peck, Tyrone Griffin, Lily                  Honigberg, Jordan Houston, William E. Page II, Edward Page, Willis Page,               Ashton Sellars</t>
    <phoneticPr fontId="1"/>
  </si>
  <si>
    <t>Denzel Curry, Kwes Darko, Darius Hill, Derrick Dewayne Hill, Jordan Houston,                   Isaiah Loubeau, Rakim Mayers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</si>
</sst>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h:mm;@"/>
    <numFmt numFmtId="177" formatCode="[$-F400]h:mm:ss\ AM/PM"/>
  </numFmts>
  <fonts count="3">
    <font>
      <sz val="12"/>
      <color theme="1"/>
      <name val="游ゴシック"/>
      <family val="2"/>
      <charset val="128"/>
      <scheme val="minor"/>
    </font>
    <font>
      <sz val="6"/>
      <name val="游ゴシック"/>
      <family val="2"/>
      <charset val="128"/>
      <scheme val="minor"/>
    </font>
    <font>
      <sz val="10"/>
      <color theme="1"/>
      <name val="Arial Unicode MS"/>
      <family val="2"/>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8">
    <xf numFmtId="0" fontId="0" fillId="0" borderId="0" xfId="0">
      <alignment vertical="center"/>
    </xf>
    <xf numFmtId="0" fontId="2" fillId="0" borderId="0" xfId="0" applyFont="1">
      <alignment vertical="center"/>
    </xf>
    <xf numFmtId="176" fontId="0" fillId="0" borderId="0" xfId="0" applyNumberFormat="1">
      <alignment vertical="center"/>
    </xf>
    <xf numFmtId="0" fontId="0" fillId="0" borderId="0" xfId="0" applyAlignment="1">
      <alignment horizontal="center" vertical="center"/>
    </xf>
    <xf numFmtId="49" fontId="0" fillId="0" borderId="0" xfId="0" applyNumberFormat="1">
      <alignment vertical="center"/>
    </xf>
    <xf numFmtId="177" fontId="0" fillId="0" borderId="0" xfId="0" applyNumberFormat="1">
      <alignment vertical="center"/>
    </xf>
    <xf numFmtId="0" fontId="0" fillId="0" borderId="0" xfId="0" applyNumberFormat="1">
      <alignment vertical="center"/>
    </xf>
    <xf numFmtId="0" fontId="0" fillId="0" borderId="0" xfId="0" applyNumberFormat="1" applyAlignment="1">
      <alignment vertical="center" wrapText="1"/>
    </xf>
  </cellXfs>
  <cellStyles count="1">
    <cellStyle name="標準" xfId="0" builtinId="0"/>
  </cellStyles>
  <dxfs count="8">
    <dxf>
      <numFmt numFmtId="177" formatCode="[$-F400]h:mm:ss\ AM/PM"/>
    </dxf>
    <dxf>
      <numFmt numFmtId="0" formatCode="General"/>
    </dxf>
    <dxf>
      <numFmt numFmtId="0" formatCode="General"/>
    </dxf>
    <dxf>
      <numFmt numFmtId="0" formatCode="General"/>
    </dxf>
    <dxf>
      <numFmt numFmtId="177" formatCode="[$-F400]h:mm:ss\ AM/P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97" xr16:uid="{386EFE75-710D-49C4-A6FE-524641C53ACB}" autoFormatId="20" applyNumberFormats="0" applyBorderFormats="0" applyFontFormats="0" applyPatternFormats="0" applyAlignmentFormats="0" applyWidthHeightFormats="0">
  <queryTableRefresh nextId="6">
    <queryTableFields count="5">
      <queryTableField id="1" name="Column1" tableColumnId="1"/>
      <queryTableField id="2" name="Title" tableColumnId="2"/>
      <queryTableField id="3" name="Composer" tableColumnId="3"/>
      <queryTableField id="4" name="Performer" tableColumnId="4"/>
      <queryTableField id="5" name="Time"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96" xr16:uid="{7FD727EB-14BA-4389-9FFB-4E36A600933C}" autoFormatId="20" applyNumberFormats="0" applyBorderFormats="0" applyFontFormats="0" applyPatternFormats="0" applyAlignmentFormats="0" applyWidthHeightFormats="0">
  <queryTableRefresh nextId="6">
    <queryTableFields count="5">
      <queryTableField id="1" name="Column1" tableColumnId="1"/>
      <queryTableField id="2" name="Title" tableColumnId="2"/>
      <queryTableField id="3" name="Composer" tableColumnId="3"/>
      <queryTableField id="4" name="Performer" tableColumnId="4"/>
      <queryTableField id="5" name="Time"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FA4858C-E118-44B1-BDD8-7B4AE50B88AC}" name="テーブル_5__253" displayName="テーブル_5__253" ref="A1:E20" tableType="queryTable" totalsRowShown="0">
  <autoFilter ref="A1:E20" xr:uid="{AFA4858C-E118-44B1-BDD8-7B4AE50B88AC}"/>
  <tableColumns count="5">
    <tableColumn id="1" xr3:uid="{69382ECF-AE6C-42FB-A60D-DD46AEE03761}" uniqueName="1" name="Column1" queryTableFieldId="1"/>
    <tableColumn id="2" xr3:uid="{CEC3381F-0D5B-42A4-BB79-D1F014FF4C7D}" uniqueName="2" name="Title" queryTableFieldId="2" dataDxfId="3"/>
    <tableColumn id="3" xr3:uid="{92A7B408-1405-4CCD-9576-B2EBD8F04298}" uniqueName="3" name="Composer" queryTableFieldId="3" dataDxfId="2"/>
    <tableColumn id="4" xr3:uid="{5F6A0496-751D-44F1-9E90-56331D418742}" uniqueName="4" name="Performer" queryTableFieldId="4" dataDxfId="1"/>
    <tableColumn id="5" xr3:uid="{35ADA634-6EBD-4D9F-AE85-15D20843A9D1}" uniqueName="5" name="Time" queryTableFieldId="5"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A77B4-B418-43BC-8B4D-8D2E11405E9C}" name="テーブル_5__25" displayName="テーブル_5__25" ref="A1:E20" tableType="queryTable" totalsRowShown="0">
  <autoFilter ref="A1:E20" xr:uid="{D8DA77B4-B418-43BC-8B4D-8D2E11405E9C}"/>
  <tableColumns count="5">
    <tableColumn id="1" xr3:uid="{757778F0-FB13-46FE-BB2B-FDE7F367060C}" uniqueName="1" name="Column1" queryTableFieldId="1"/>
    <tableColumn id="2" xr3:uid="{42BF7DFD-49BA-4E3C-A1C5-91045B9E009D}" uniqueName="2" name="Title" queryTableFieldId="2" dataDxfId="7"/>
    <tableColumn id="3" xr3:uid="{4C655BA9-4828-40E8-A2A9-839FED27B63B}" uniqueName="3" name="Composer" queryTableFieldId="3" dataDxfId="6"/>
    <tableColumn id="4" xr3:uid="{500286DE-2801-4C0A-8BAE-7DB61EC8CF7F}" uniqueName="4" name="Performer" queryTableFieldId="4" dataDxfId="5"/>
    <tableColumn id="5" xr3:uid="{1712B2F7-86B3-44F2-9124-1AE00B4B0F75}" uniqueName="5" name="Time" queryTableFieldId="5" dataDxfId="4"/>
  </tableColumns>
  <tableStyleInfo name="TableStyleMedium7"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
  <sheetViews>
    <sheetView workbookViewId="0">
      <selection sqref="A1:XFD1048576"/>
    </sheetView>
  </sheetViews>
  <sheetFormatPr defaultRowHeight="19.8"/>
  <cols>
    <col min="1" max="1" width="10.81640625" bestFit="1" customWidth="1"/>
    <col min="2" max="2" width="26" bestFit="1" customWidth="1"/>
    <col min="3" max="3" width="80.7265625" bestFit="1" customWidth="1"/>
    <col min="4" max="4" width="42.7265625" bestFit="1" customWidth="1"/>
    <col min="5" max="5" width="7.54296875" bestFit="1" customWidth="1"/>
  </cols>
  <sheetData>
    <row r="1" spans="1:5">
      <c r="A1" t="s">
        <v>7</v>
      </c>
      <c r="B1" t="s">
        <v>4</v>
      </c>
      <c r="C1" t="s">
        <v>3</v>
      </c>
      <c r="D1" t="s">
        <v>6</v>
      </c>
      <c r="E1" t="s">
        <v>5</v>
      </c>
    </row>
    <row r="2" spans="1:5">
      <c r="A2">
        <v>1</v>
      </c>
      <c r="B2" s="6" t="s">
        <v>8</v>
      </c>
      <c r="C2" s="6" t="s">
        <v>62</v>
      </c>
      <c r="D2" s="6" t="s">
        <v>10</v>
      </c>
      <c r="E2" s="5">
        <v>2.2916666666666665E-2</v>
      </c>
    </row>
    <row r="3" spans="1:5">
      <c r="A3">
        <v>2</v>
      </c>
      <c r="B3" s="6" t="s">
        <v>11</v>
      </c>
      <c r="C3" s="6" t="s">
        <v>63</v>
      </c>
      <c r="D3" s="6" t="s">
        <v>13</v>
      </c>
      <c r="E3" s="5">
        <v>0.1361111111111111</v>
      </c>
    </row>
    <row r="4" spans="1:5">
      <c r="A4">
        <v>3</v>
      </c>
      <c r="B4" s="6" t="s">
        <v>14</v>
      </c>
      <c r="C4" s="6" t="s">
        <v>64</v>
      </c>
      <c r="D4" s="6" t="s">
        <v>16</v>
      </c>
      <c r="E4" s="5">
        <v>0.1111111111111111</v>
      </c>
    </row>
    <row r="5" spans="1:5" ht="59.4">
      <c r="A5">
        <v>4</v>
      </c>
      <c r="B5" s="6" t="s">
        <v>17</v>
      </c>
      <c r="C5" s="7" t="s">
        <v>65</v>
      </c>
      <c r="D5" s="6" t="s">
        <v>19</v>
      </c>
      <c r="E5" s="5">
        <v>0.11458333333333333</v>
      </c>
    </row>
    <row r="6" spans="1:5">
      <c r="A6">
        <v>5</v>
      </c>
      <c r="B6" s="6" t="s">
        <v>20</v>
      </c>
      <c r="C6" s="6" t="s">
        <v>21</v>
      </c>
      <c r="D6" s="6" t="s">
        <v>22</v>
      </c>
      <c r="E6" s="5">
        <v>0.15486111111111112</v>
      </c>
    </row>
    <row r="7" spans="1:5">
      <c r="A7">
        <v>6</v>
      </c>
      <c r="B7" s="6" t="s">
        <v>23</v>
      </c>
      <c r="C7" s="6" t="s">
        <v>66</v>
      </c>
      <c r="D7" s="6" t="s">
        <v>25</v>
      </c>
      <c r="E7" s="5">
        <v>0.14374999999999999</v>
      </c>
    </row>
    <row r="8" spans="1:5">
      <c r="A8">
        <v>7</v>
      </c>
      <c r="B8" s="6" t="s">
        <v>26</v>
      </c>
      <c r="C8" s="6" t="s">
        <v>67</v>
      </c>
      <c r="D8" s="6" t="s">
        <v>10</v>
      </c>
      <c r="E8" s="5">
        <v>2.013888888888889E-2</v>
      </c>
    </row>
    <row r="9" spans="1:5">
      <c r="A9">
        <v>8</v>
      </c>
      <c r="B9" s="6" t="s">
        <v>28</v>
      </c>
      <c r="C9" s="6" t="s">
        <v>68</v>
      </c>
      <c r="D9" s="6" t="s">
        <v>30</v>
      </c>
      <c r="E9" s="5">
        <v>0.14791666666666667</v>
      </c>
    </row>
    <row r="10" spans="1:5">
      <c r="A10">
        <v>9</v>
      </c>
      <c r="B10" s="6" t="s">
        <v>31</v>
      </c>
      <c r="C10" s="6" t="s">
        <v>69</v>
      </c>
      <c r="D10" s="6" t="s">
        <v>10</v>
      </c>
      <c r="E10" s="5">
        <v>2.7083333333333334E-2</v>
      </c>
    </row>
    <row r="11" spans="1:5">
      <c r="A11">
        <v>10</v>
      </c>
      <c r="B11" s="6" t="s">
        <v>33</v>
      </c>
      <c r="C11" s="6" t="s">
        <v>70</v>
      </c>
      <c r="D11" s="6" t="s">
        <v>35</v>
      </c>
      <c r="E11" s="5">
        <v>0.15486111111111112</v>
      </c>
    </row>
    <row r="12" spans="1:5">
      <c r="A12">
        <v>11</v>
      </c>
      <c r="B12" s="6" t="s">
        <v>36</v>
      </c>
      <c r="C12" s="6" t="s">
        <v>37</v>
      </c>
      <c r="D12" s="6" t="s">
        <v>38</v>
      </c>
      <c r="E12" s="5">
        <v>0.10555555555555556</v>
      </c>
    </row>
    <row r="13" spans="1:5" ht="39.6">
      <c r="A13">
        <v>12</v>
      </c>
      <c r="B13" s="6" t="s">
        <v>39</v>
      </c>
      <c r="C13" s="7" t="s">
        <v>72</v>
      </c>
      <c r="D13" s="6" t="s">
        <v>41</v>
      </c>
      <c r="E13" s="5">
        <v>0.15138888888888888</v>
      </c>
    </row>
    <row r="14" spans="1:5">
      <c r="A14">
        <v>13</v>
      </c>
      <c r="B14" s="6" t="s">
        <v>42</v>
      </c>
      <c r="C14" s="6" t="s">
        <v>71</v>
      </c>
      <c r="D14" s="6" t="s">
        <v>44</v>
      </c>
      <c r="E14" s="5">
        <v>0.16805555555555557</v>
      </c>
    </row>
    <row r="15" spans="1:5">
      <c r="A15">
        <v>14</v>
      </c>
      <c r="B15" s="6" t="s">
        <v>45</v>
      </c>
      <c r="C15" s="6" t="s">
        <v>46</v>
      </c>
      <c r="D15" s="6" t="s">
        <v>47</v>
      </c>
      <c r="E15" s="5">
        <v>0.12222222222222222</v>
      </c>
    </row>
    <row r="16" spans="1:5">
      <c r="A16">
        <v>15</v>
      </c>
      <c r="B16" s="6" t="s">
        <v>48</v>
      </c>
      <c r="C16" s="6" t="s">
        <v>49</v>
      </c>
      <c r="D16" s="6" t="s">
        <v>50</v>
      </c>
      <c r="E16" s="5">
        <v>0.12916666666666668</v>
      </c>
    </row>
    <row r="17" spans="1:5">
      <c r="A17">
        <v>16</v>
      </c>
      <c r="B17" s="6" t="s">
        <v>51</v>
      </c>
      <c r="C17" s="6" t="s">
        <v>52</v>
      </c>
      <c r="D17" s="6" t="s">
        <v>53</v>
      </c>
      <c r="E17" s="5">
        <v>0.14305555555555555</v>
      </c>
    </row>
    <row r="18" spans="1:5">
      <c r="A18">
        <v>17</v>
      </c>
      <c r="B18" s="6" t="s">
        <v>54</v>
      </c>
      <c r="C18" s="6" t="s">
        <v>55</v>
      </c>
      <c r="D18" s="6" t="s">
        <v>56</v>
      </c>
      <c r="E18" s="5">
        <v>0.16180555555555556</v>
      </c>
    </row>
    <row r="19" spans="1:5">
      <c r="A19">
        <v>18</v>
      </c>
      <c r="B19" s="6" t="s">
        <v>57</v>
      </c>
      <c r="C19" s="6" t="s">
        <v>73</v>
      </c>
      <c r="D19" s="6" t="s">
        <v>59</v>
      </c>
      <c r="E19" s="5">
        <v>8.9583333333333334E-2</v>
      </c>
    </row>
    <row r="20" spans="1:5">
      <c r="A20">
        <v>19</v>
      </c>
      <c r="B20" s="6" t="s">
        <v>60</v>
      </c>
      <c r="C20" s="6" t="s">
        <v>61</v>
      </c>
      <c r="D20" s="6" t="s">
        <v>10</v>
      </c>
      <c r="E20" s="5">
        <v>2.1527777777777778E-2</v>
      </c>
    </row>
  </sheetData>
  <phoneticPr fontId="1"/>
  <pageMargins left="0.7" right="0.7" top="0.75" bottom="0.75" header="0.3" footer="0.3"/>
  <pageSetup paperSize="9" orientation="portrait" horizontalDpi="0" verticalDpi="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K30"/>
  <sheetViews>
    <sheetView tabSelected="1" topLeftCell="G1" workbookViewId="0">
      <selection activeCell="A3" sqref="A3:K23"/>
    </sheetView>
  </sheetViews>
  <sheetFormatPr defaultColWidth="11.54296875" defaultRowHeight="19.8"/>
  <cols>
    <col min="1" max="1" width="4.1796875" customWidth="1"/>
    <col min="3" max="3" width="3.90625" style="3" customWidth="1"/>
    <col min="4" max="4" width="21.08984375" customWidth="1"/>
    <col min="5" max="5" width="4" style="3" customWidth="1"/>
    <col min="6" max="6" width="119.1796875" bestFit="1" customWidth="1"/>
    <col min="7" max="7" width="4.453125" style="3" customWidth="1"/>
    <col min="8" max="8" width="21.81640625" customWidth="1"/>
    <col min="9" max="9" width="4.36328125" style="3" customWidth="1"/>
    <col min="10" max="10" width="8.453125" customWidth="1"/>
    <col min="11" max="11" width="3.453125" style="3" customWidth="1"/>
  </cols>
  <sheetData>
    <row r="2" spans="1:11">
      <c r="D2" s="1">
        <f t="array" ref="D2">MAX(LENB(Sheet1!B1:'Sheet1'!B30))</f>
        <v>22</v>
      </c>
      <c r="F2" s="1">
        <f t="array" ref="F2">MAX(LENB(Sheet1!C1:'Sheet1'!C30))</f>
        <v>255</v>
      </c>
      <c r="H2" s="1">
        <f t="array" ref="H2">MAX(LENB(Sheet1!D1:'Sheet1'!D30))</f>
        <v>45</v>
      </c>
      <c r="J2" s="1">
        <f>7</f>
        <v>7</v>
      </c>
    </row>
    <row r="3" spans="1:11">
      <c r="A3" t="s">
        <v>0</v>
      </c>
      <c r="B3" t="str">
        <f>" "&amp;"No."&amp;" "</f>
        <v xml:space="preserve"> No. </v>
      </c>
      <c r="C3" s="3" t="s">
        <v>0</v>
      </c>
      <c r="D3" t="str">
        <f>" "&amp;LEFTB("Title"&amp;REPT(" ",$D$2),$D$2)</f>
        <v xml:space="preserve"> Title                 </v>
      </c>
      <c r="E3" s="3" t="s">
        <v>0</v>
      </c>
      <c r="F3" t="str">
        <f>" "&amp;LEFTB("Composers"&amp;REPT(" ",$F$2-1),$F$2-1)</f>
        <v xml:space="preserve"> Composers                                                                                                                                                                                                                                                     </v>
      </c>
      <c r="G3" s="3" t="s">
        <v>0</v>
      </c>
      <c r="H3" t="str">
        <f>" "&amp;LEFTB("Performer"&amp;REPT(" ",$H$2),$H$2)</f>
        <v xml:space="preserve"> Performer                                    </v>
      </c>
      <c r="I3" s="3" t="s">
        <v>0</v>
      </c>
      <c r="J3" t="str">
        <f>" "&amp;"Time"</f>
        <v xml:space="preserve"> Time</v>
      </c>
      <c r="K3" s="3" t="s">
        <v>0</v>
      </c>
    </row>
    <row r="4" spans="1:11">
      <c r="A4" t="s">
        <v>0</v>
      </c>
      <c r="B4" t="s">
        <v>1</v>
      </c>
      <c r="C4" s="3" t="s">
        <v>0</v>
      </c>
      <c r="D4" t="str">
        <f>REPT("-",$D$2)&amp;" "</f>
        <v xml:space="preserve">---------------------- </v>
      </c>
      <c r="E4" s="3" t="s">
        <v>0</v>
      </c>
      <c r="F4" t="str">
        <f>" "&amp;REPT("-",$F$2)&amp;" "</f>
        <v xml:space="preserve"> --------------------------------------------------------------------------------------------------------------------------------------------------------------------------------------------------------------------------------------------------------------- </v>
      </c>
      <c r="G4" s="3" t="s">
        <v>0</v>
      </c>
      <c r="H4" t="str">
        <f>" "&amp;REPT("-",$H$2)&amp;" "</f>
        <v xml:space="preserve"> --------------------------------------------- </v>
      </c>
      <c r="I4" s="3" t="s">
        <v>0</v>
      </c>
      <c r="J4" t="s">
        <v>2</v>
      </c>
      <c r="K4" s="3" t="s">
        <v>0</v>
      </c>
    </row>
    <row r="5" spans="1:11">
      <c r="A5" t="s">
        <v>0</v>
      </c>
      <c r="B5">
        <f>Sheet1!A2</f>
        <v>1</v>
      </c>
      <c r="C5" s="3" t="s">
        <v>0</v>
      </c>
      <c r="D5" s="4" t="str">
        <f>LEFTB(Sheet1!B2&amp;REPT(" ",$D$2),$D$2)</f>
        <v xml:space="preserve">KOTMS II (INTRO)      </v>
      </c>
      <c r="E5" s="3" t="s">
        <v>0</v>
      </c>
      <c r="F5" t="str">
        <f>" "&amp;LEFTB(Sheet1!C2&amp;REPT(" ",$F$2),$F$2)</f>
        <v xml:space="preserve"> Ryan Degrandy, Vero La Grande De Durango, Darius Hill, Derrick Dewayne                  Hill, Montag Da Leadah                                                                                                                                                 </v>
      </c>
      <c r="G5" s="3" t="s">
        <v>0</v>
      </c>
      <c r="H5" t="str">
        <f>LEFTB(Sheet1!D2&amp;REPT(" ",$H$2),$H$2)</f>
        <v xml:space="preserve">Denzel Curry feat. Kingpin Skinny Pimp       </v>
      </c>
      <c r="I5" s="3" t="s">
        <v>0</v>
      </c>
      <c r="J5" s="2" t="str">
        <f>TEXT(Sheet1!E2,"HH:MM")&amp;" "</f>
        <v xml:space="preserve">00:33 </v>
      </c>
      <c r="K5" s="3" t="s">
        <v>0</v>
      </c>
    </row>
    <row r="6" spans="1:11">
      <c r="A6" t="s">
        <v>0</v>
      </c>
      <c r="B6">
        <f>Sheet1!A3</f>
        <v>2</v>
      </c>
      <c r="C6" s="3" t="s">
        <v>0</v>
      </c>
      <c r="D6" s="4" t="str">
        <f>LEFTB(Sheet1!B3&amp;REPT(" ",$D$2),$D$2)</f>
        <v xml:space="preserve">ULTRA SHXT            </v>
      </c>
      <c r="E6" s="3" t="s">
        <v>0</v>
      </c>
      <c r="F6" t="str">
        <f>" "&amp;LEFTB(Sheet1!C3&amp;REPT(" ",$F$2),$F$2)</f>
        <v xml:space="preserve"> K. Bailey, Kishaun Bailey, Denzel Curry, Ryan Degrandy, Vero La Grande De Durango, Darius Hill, Derrick Dewayne Hill, Nick León, Lowkey, Adam Porterfield, DJ Poshtronaut, DJ Qeys                                                                            </v>
      </c>
      <c r="G6" s="3" t="s">
        <v>0</v>
      </c>
      <c r="H6" t="str">
        <f>LEFTB(Sheet1!D3&amp;REPT(" ",$H$2),$H$2)</f>
        <v xml:space="preserve">Denzel Curry feat. Key Nyata                 </v>
      </c>
      <c r="I6" s="3" t="s">
        <v>0</v>
      </c>
      <c r="J6" s="2" t="str">
        <f>TEXT(Sheet1!E3,"HH:MM")&amp;" "</f>
        <v xml:space="preserve">03:16 </v>
      </c>
      <c r="K6" s="3" t="s">
        <v>0</v>
      </c>
    </row>
    <row r="7" spans="1:11">
      <c r="A7" t="s">
        <v>0</v>
      </c>
      <c r="B7">
        <f>Sheet1!A4</f>
        <v>3</v>
      </c>
      <c r="C7" s="3" t="s">
        <v>0</v>
      </c>
      <c r="D7" s="4" t="str">
        <f>LEFTB(Sheet1!B4&amp;REPT(" ",$D$2),$D$2)</f>
        <v xml:space="preserve">SET IT                </v>
      </c>
      <c r="E7" s="3" t="s">
        <v>0</v>
      </c>
      <c r="F7" t="str">
        <f>" "&amp;LEFTB(Sheet1!C4&amp;REPT(" ",$F$2),$F$2)</f>
        <v xml:space="preserve"> Denzel Curry, Darius Hill, Derrick Dewayne Hill, Emekwanem Biosah Jr.,                  Jordan Ortiz                                                                                                                                                           </v>
      </c>
      <c r="G7" s="3" t="s">
        <v>0</v>
      </c>
      <c r="H7" t="str">
        <f>LEFTB(Sheet1!D4&amp;REPT(" ",$H$2),$H$2)</f>
        <v xml:space="preserve">Denzel Curry feat. Maxo Kream                </v>
      </c>
      <c r="I7" s="3" t="s">
        <v>0</v>
      </c>
      <c r="J7" s="2" t="str">
        <f>TEXT(Sheet1!E4,"HH:MM")&amp;" "</f>
        <v xml:space="preserve">02:40 </v>
      </c>
      <c r="K7" s="3" t="s">
        <v>0</v>
      </c>
    </row>
    <row r="8" spans="1:11">
      <c r="A8" t="s">
        <v>0</v>
      </c>
      <c r="B8">
        <f>Sheet1!A5</f>
        <v>4</v>
      </c>
      <c r="C8" s="3" t="s">
        <v>0</v>
      </c>
      <c r="D8" s="4" t="str">
        <f>LEFTB(Sheet1!B5&amp;REPT(" ",$D$2),$D$2)</f>
        <v xml:space="preserve">HOT ONE               </v>
      </c>
      <c r="E8" s="3" t="s">
        <v>0</v>
      </c>
      <c r="F8" t="str">
        <f>" "&amp;LEFTB(Sheet1!C5&amp;REPT(" ",$F$2),$F$2)</f>
        <v xml:space="preserve"> Paul Beauregard, Isaac de Boni, Denzel Curry, Darold Ferguson, Edgar Ferrera,                  Darius Hill, Derrick Dewayne Hill, Nick Le?n, Julian Menkin, Michael Mule,                  Adam Porterfield, DJ Poshtronaut, DJ Qeys, T. Thompson, Tia Thompson</v>
      </c>
      <c r="G8" s="3" t="s">
        <v>0</v>
      </c>
      <c r="H8" t="str">
        <f>LEFTB(Sheet1!D5&amp;REPT(" ",$H$2),$H$2)</f>
        <v xml:space="preserve">Denzel Curry feat. A$AP Ferg, TiaCorine      </v>
      </c>
      <c r="I8" s="3" t="s">
        <v>0</v>
      </c>
      <c r="J8" s="2" t="str">
        <f>TEXT(Sheet1!E5,"HH:MM")&amp;" "</f>
        <v xml:space="preserve">02:45 </v>
      </c>
      <c r="K8" s="3" t="s">
        <v>0</v>
      </c>
    </row>
    <row r="9" spans="1:11">
      <c r="A9" t="s">
        <v>0</v>
      </c>
      <c r="B9">
        <f>Sheet1!A6</f>
        <v>5</v>
      </c>
      <c r="C9" s="3" t="s">
        <v>0</v>
      </c>
      <c r="D9" s="4" t="str">
        <f>LEFTB(Sheet1!B6&amp;REPT(" ",$D$2),$D$2)</f>
        <v xml:space="preserve">ACT A DAMN FOOL       </v>
      </c>
      <c r="E9" s="3" t="s">
        <v>0</v>
      </c>
      <c r="F9" t="str">
        <f>" "&amp;LEFTB(Sheet1!C6&amp;REPT(" ",$F$2),$F$2)</f>
        <v xml:space="preserve"> Denzel Curry, Duke Deuce, Slim Guerilla, Finatik, Zac                                                                                                                                                                                                          </v>
      </c>
      <c r="G9" s="3" t="s">
        <v>0</v>
      </c>
      <c r="H9" t="str">
        <f>LEFTB(Sheet1!D6&amp;REPT(" ",$H$2),$H$2)</f>
        <v>Denzel Curry feat. Duke Deuxe / Slim Guerilla</v>
      </c>
      <c r="I9" s="3" t="s">
        <v>0</v>
      </c>
      <c r="J9" s="2" t="str">
        <f>TEXT(Sheet1!E6,"HH:MM")&amp;" "</f>
        <v xml:space="preserve">03:43 </v>
      </c>
      <c r="K9" s="3" t="s">
        <v>0</v>
      </c>
    </row>
    <row r="10" spans="1:11">
      <c r="A10" t="s">
        <v>0</v>
      </c>
      <c r="B10">
        <f>Sheet1!A7</f>
        <v>6</v>
      </c>
      <c r="C10" s="3" t="s">
        <v>0</v>
      </c>
      <c r="D10" s="4" t="str">
        <f>LEFTB(Sheet1!B7&amp;REPT(" ",$D$2),$D$2)</f>
        <v>BLACK FLAG [FREESTYLE]</v>
      </c>
      <c r="E10" s="3" t="s">
        <v>0</v>
      </c>
      <c r="F10" t="str">
        <f>" "&amp;LEFTB(Sheet1!C7&amp;REPT(" ",$F$2),$F$2)</f>
        <v xml:space="preserve"> Denzel Curry, Virgil Gazca, Darius Hill, Derrick Dewayne Hill, R. Johnson,                  Wojciech Kilar, Rasheed Thomas, Rickie Thomas                                                                                                                      </v>
      </c>
      <c r="G10" s="3" t="s">
        <v>0</v>
      </c>
      <c r="H10" t="str">
        <f>LEFTB(Sheet1!D7&amp;REPT(" ",$H$2),$H$2)</f>
        <v xml:space="preserve">Denzel Curry feat. That Mexican OT           </v>
      </c>
      <c r="I10" s="3" t="s">
        <v>0</v>
      </c>
      <c r="J10" s="2" t="str">
        <f>TEXT(Sheet1!E7,"HH:MM")&amp;" "</f>
        <v xml:space="preserve">03:27 </v>
      </c>
      <c r="K10" s="3" t="s">
        <v>0</v>
      </c>
    </row>
    <row r="11" spans="1:11">
      <c r="A11" t="s">
        <v>0</v>
      </c>
      <c r="B11">
        <f>Sheet1!A8</f>
        <v>7</v>
      </c>
      <c r="C11" s="3" t="s">
        <v>0</v>
      </c>
      <c r="D11" s="4" t="str">
        <f>LEFTB(Sheet1!B8&amp;REPT(" ",$D$2),$D$2)</f>
        <v xml:space="preserve">HEADCRACK (INTERLUDE) </v>
      </c>
      <c r="E11" s="3" t="s">
        <v>0</v>
      </c>
      <c r="F11" t="str">
        <f>" "&amp;LEFTB(Sheet1!C8&amp;REPT(" ",$F$2),$F$2)</f>
        <v xml:space="preserve"> Darius Hill, Derrick Dewayne Hill, Nick Le?n, Julian Menkin, Muddy, DJ                  Poshtronaut, RicoRunDat, Derelle Rideout                                                                                                                               </v>
      </c>
      <c r="G11" s="3" t="s">
        <v>0</v>
      </c>
      <c r="H11" t="str">
        <f>LEFTB(Sheet1!D8&amp;REPT(" ",$H$2),$H$2)</f>
        <v xml:space="preserve">Denzel Curry feat. Kingpin Skinny Pimp       </v>
      </c>
      <c r="I11" s="3" t="s">
        <v>0</v>
      </c>
      <c r="J11" s="2" t="str">
        <f>TEXT(Sheet1!E8,"HH:MM")&amp;" "</f>
        <v xml:space="preserve">00:29 </v>
      </c>
      <c r="K11" s="3" t="s">
        <v>0</v>
      </c>
    </row>
    <row r="12" spans="1:11">
      <c r="A12" t="s">
        <v>0</v>
      </c>
      <c r="B12">
        <f>Sheet1!A9</f>
        <v>8</v>
      </c>
      <c r="C12" s="3" t="s">
        <v>0</v>
      </c>
      <c r="D12" s="4" t="str">
        <f>LEFTB(Sheet1!B9&amp;REPT(" ",$D$2),$D$2)</f>
        <v xml:space="preserve">G’Z UP               </v>
      </c>
      <c r="E12" s="3" t="s">
        <v>0</v>
      </c>
      <c r="F12" t="str">
        <f>" "&amp;LEFTB(Sheet1!C9&amp;REPT(" ",$F$2),$F$2)</f>
        <v xml:space="preserve"> Denzel Curry, Tauheed Epps, Michael Goode, Michael Goode Jr., Kanda, Derelle                  Rideout, Andre Robertson, Robertson, Kevin Da Silva                                                                                                              </v>
      </c>
      <c r="G12" s="3" t="s">
        <v>0</v>
      </c>
      <c r="H12" t="str">
        <f>LEFTB(Sheet1!D9&amp;REPT(" ",$H$2),$H$2)</f>
        <v xml:space="preserve">Denzel Curry feat. 2 Chainz, Mike Dimes      </v>
      </c>
      <c r="I12" s="3" t="s">
        <v>0</v>
      </c>
      <c r="J12" s="2" t="str">
        <f>TEXT(Sheet1!E9,"HH:MM")&amp;" "</f>
        <v xml:space="preserve">03:33 </v>
      </c>
      <c r="K12" s="3" t="s">
        <v>0</v>
      </c>
    </row>
    <row r="13" spans="1:11">
      <c r="A13" t="s">
        <v>0</v>
      </c>
      <c r="B13">
        <f>Sheet1!A10</f>
        <v>9</v>
      </c>
      <c r="C13" s="3" t="s">
        <v>0</v>
      </c>
      <c r="D13" s="4" t="str">
        <f>LEFTB(Sheet1!B10&amp;REPT(" ",$D$2),$D$2)</f>
        <v xml:space="preserve">LUNATIC (INTERLUDE)   </v>
      </c>
      <c r="E13" s="3" t="s">
        <v>0</v>
      </c>
      <c r="F13" t="str">
        <f>" "&amp;LEFTB(Sheet1!C10&amp;REPT(" ",$F$2),$F$2)</f>
        <v xml:space="preserve"> Paul Beauregard, Darius Hill, Derrick Dewayne Hill, Nick Le?n, Julian Menkin,                  DJ Poshtronaut                                                                                                                                                  </v>
      </c>
      <c r="G13" s="3" t="s">
        <v>0</v>
      </c>
      <c r="H13" t="str">
        <f>LEFTB(Sheet1!D10&amp;REPT(" ",$H$2),$H$2)</f>
        <v xml:space="preserve">Denzel Curry feat. Kingpin Skinny Pimp       </v>
      </c>
      <c r="I13" s="3" t="s">
        <v>0</v>
      </c>
      <c r="J13" s="2" t="str">
        <f>TEXT(Sheet1!E10,"HH:MM")&amp;" "</f>
        <v xml:space="preserve">00:39 </v>
      </c>
      <c r="K13" s="3" t="s">
        <v>0</v>
      </c>
    </row>
    <row r="14" spans="1:11">
      <c r="A14" t="s">
        <v>0</v>
      </c>
      <c r="B14">
        <f>Sheet1!A11</f>
        <v>10</v>
      </c>
      <c r="C14" s="3" t="s">
        <v>0</v>
      </c>
      <c r="D14" s="4" t="str">
        <f>LEFTB(Sheet1!B11&amp;REPT(" ",$D$2),$D$2)</f>
        <v xml:space="preserve">SKED                  </v>
      </c>
      <c r="E14" s="3" t="s">
        <v>0</v>
      </c>
      <c r="F14" t="str">
        <f>" "&amp;LEFTB(Sheet1!C11&amp;REPT(" ",$F$2),$F$2)</f>
        <v xml:space="preserve"> Apollo Brown, Denzel Curry, Edwin Green, Jordan Houston, Patrick Houston,                  Ernest Brown III                                                                                                                                                    </v>
      </c>
      <c r="G14" s="3" t="s">
        <v>0</v>
      </c>
      <c r="H14" t="str">
        <f>LEFTB(Sheet1!D11&amp;REPT(" ",$H$2),$H$2)</f>
        <v xml:space="preserve">Denzel Curry feat. Kenny Mason, Project Pat  </v>
      </c>
      <c r="I14" s="3" t="s">
        <v>0</v>
      </c>
      <c r="J14" s="2" t="str">
        <f>TEXT(Sheet1!E11,"HH:MM")&amp;" "</f>
        <v xml:space="preserve">03:43 </v>
      </c>
      <c r="K14" s="3" t="s">
        <v>0</v>
      </c>
    </row>
    <row r="15" spans="1:11">
      <c r="A15" t="s">
        <v>0</v>
      </c>
      <c r="B15">
        <f>Sheet1!A12</f>
        <v>11</v>
      </c>
      <c r="C15" s="3" t="s">
        <v>0</v>
      </c>
      <c r="D15" s="4" t="str">
        <f>LEFTB(Sheet1!B12&amp;REPT(" ",$D$2),$D$2)</f>
        <v xml:space="preserve">GOT ME GEEKED         </v>
      </c>
      <c r="E15" s="3" t="s">
        <v>0</v>
      </c>
      <c r="F15" t="str">
        <f>" "&amp;LEFTB(Sheet1!C12&amp;REPT(" ",$F$2),$F$2)</f>
        <v xml:space="preserve"> Denzel Curry, Powers Pleasant, Ben10k                                                                                                                                                                                                                          </v>
      </c>
      <c r="G15" s="3" t="s">
        <v>0</v>
      </c>
      <c r="H15" t="str">
        <f>LEFTB(Sheet1!D12&amp;REPT(" ",$H$2),$H$2)</f>
        <v xml:space="preserve">Denzel Curry                                 </v>
      </c>
      <c r="I15" s="3" t="s">
        <v>0</v>
      </c>
      <c r="J15" s="2" t="str">
        <f>TEXT(Sheet1!E12,"HH:MM")&amp;" "</f>
        <v xml:space="preserve">02:32 </v>
      </c>
      <c r="K15" s="3" t="s">
        <v>0</v>
      </c>
    </row>
    <row r="16" spans="1:11">
      <c r="A16" t="s">
        <v>0</v>
      </c>
      <c r="B16">
        <f>Sheet1!A13</f>
        <v>12</v>
      </c>
      <c r="C16" s="3" t="s">
        <v>0</v>
      </c>
      <c r="D16" s="4" t="str">
        <f>LEFTB(Sheet1!B13&amp;REPT(" ",$D$2),$D$2)</f>
        <v xml:space="preserve">COLE PIMP             </v>
      </c>
      <c r="E16" s="3" t="s">
        <v>0</v>
      </c>
      <c r="F16" t="str">
        <f>" "&amp;LEFTB(Sheet1!C13&amp;REPT(" ",$F$2),$F$2)</f>
        <v xml:space="preserve"> Kameron Cole, Denzel Curry, Elija Sostrom Fox-Peck, Tyrone Griffin, Lily                  Honigberg, Jordan Houston, William E. Page II, Edward Page, Willis Page,               Ashton Sellars                                                                </v>
      </c>
      <c r="G16" s="3" t="s">
        <v>0</v>
      </c>
      <c r="H16" t="str">
        <f>LEFTB(Sheet1!D13&amp;REPT(" ",$H$2),$H$2)</f>
        <v xml:space="preserve">Denzel Curry feat. Ty Dolla $ign, Juicy J    </v>
      </c>
      <c r="I16" s="3" t="s">
        <v>0</v>
      </c>
      <c r="J16" s="2" t="str">
        <f>TEXT(Sheet1!E13,"HH:MM")&amp;" "</f>
        <v xml:space="preserve">03:38 </v>
      </c>
      <c r="K16" s="3" t="s">
        <v>0</v>
      </c>
    </row>
    <row r="17" spans="1:11">
      <c r="A17" t="s">
        <v>0</v>
      </c>
      <c r="B17">
        <f>Sheet1!A14</f>
        <v>13</v>
      </c>
      <c r="C17" s="3" t="s">
        <v>0</v>
      </c>
      <c r="D17" s="4" t="str">
        <f>LEFTB(Sheet1!B14&amp;REPT(" ",$D$2),$D$2)</f>
        <v xml:space="preserve">P.O.P                 </v>
      </c>
      <c r="E17" s="3" t="s">
        <v>0</v>
      </c>
      <c r="F17" t="str">
        <f>" "&amp;LEFTB(Sheet1!C14&amp;REPT(" ",$F$2),$F$2)</f>
        <v xml:space="preserve"> Denzel Curry, Key Nyata, Sauce Walka, MAD WORLD, Mickey De Grand IV                                                                                                                                                                                            </v>
      </c>
      <c r="G17" s="3" t="s">
        <v>0</v>
      </c>
      <c r="H17" t="str">
        <f>LEFTB(Sheet1!D14&amp;REPT(" ",$H$2),$H$2)</f>
        <v xml:space="preserve">Denzel Curry feat. Key Nyata, Sauce Walka    </v>
      </c>
      <c r="I17" s="3" t="s">
        <v>0</v>
      </c>
      <c r="J17" s="2" t="str">
        <f>TEXT(Sheet1!E14,"HH:MM")&amp;" "</f>
        <v xml:space="preserve">04:02 </v>
      </c>
      <c r="K17" s="3" t="s">
        <v>0</v>
      </c>
    </row>
    <row r="18" spans="1:11">
      <c r="A18" t="s">
        <v>0</v>
      </c>
      <c r="B18">
        <f>Sheet1!A15</f>
        <v>14</v>
      </c>
      <c r="C18" s="3" t="s">
        <v>0</v>
      </c>
      <c r="D18" t="str">
        <f>LEFTB(Sheet1!B15&amp;REPT(" ",$D$2),$D$2)</f>
        <v xml:space="preserve">ANOTHA LATE NITE      </v>
      </c>
      <c r="E18" s="3" t="s">
        <v>0</v>
      </c>
      <c r="F18" t="str">
        <f>" "&amp;LEFTB(Sheet1!C15&amp;REPT(" ",$F$2),$F$2)</f>
        <v xml:space="preserve"> Denzel Curry, 454, Mickey De Grand IV                                                                                                                                                                                                                          </v>
      </c>
      <c r="G18" s="3" t="s">
        <v>0</v>
      </c>
      <c r="H18" t="str">
        <f>LEFTB(Sheet1!D15&amp;REPT(" ",$H$2),$H$2)</f>
        <v xml:space="preserve">Denzel Curry feta. 454                       </v>
      </c>
      <c r="I18" s="3" t="s">
        <v>0</v>
      </c>
      <c r="J18" s="2" t="str">
        <f>TEXT(Sheet1!E15,"HH:MM")&amp;" "</f>
        <v xml:space="preserve">02:56 </v>
      </c>
      <c r="K18" s="3" t="s">
        <v>0</v>
      </c>
    </row>
    <row r="19" spans="1:11">
      <c r="A19" t="s">
        <v>0</v>
      </c>
      <c r="B19">
        <f>Sheet1!A16</f>
        <v>15</v>
      </c>
      <c r="C19" s="3" t="s">
        <v>0</v>
      </c>
      <c r="D19" t="str">
        <f>LEFTB(Sheet1!B16&amp;REPT(" ",$D$2),$D$2)</f>
        <v xml:space="preserve">WISHLIST              </v>
      </c>
      <c r="E19" s="3" t="s">
        <v>0</v>
      </c>
      <c r="F19" t="str">
        <f>" "&amp;LEFTB(Sheet1!C16&amp;REPT(" ",$F$2),$F$2)</f>
        <v xml:space="preserve"> Denzel Curry, Delgado, Willie Hutch, Armani White                                                                                                                                                                                                              </v>
      </c>
      <c r="G19" s="3" t="s">
        <v>0</v>
      </c>
      <c r="H19" t="str">
        <f>LEFTB(Sheet1!D16&amp;REPT(" ",$H$2),$H$2)</f>
        <v xml:space="preserve">Denzel Curry feat. Armani White              </v>
      </c>
      <c r="I19" s="3" t="s">
        <v>0</v>
      </c>
      <c r="J19" s="2" t="str">
        <f>TEXT(Sheet1!E16,"HH:MM")&amp;" "</f>
        <v xml:space="preserve">03:06 </v>
      </c>
      <c r="K19" s="3" t="s">
        <v>0</v>
      </c>
    </row>
    <row r="20" spans="1:11">
      <c r="A20" t="s">
        <v>0</v>
      </c>
      <c r="B20">
        <f>Sheet1!A17</f>
        <v>16</v>
      </c>
      <c r="C20" s="3" t="s">
        <v>0</v>
      </c>
      <c r="D20" t="str">
        <f>LEFTB(Sheet1!B17&amp;REPT(" ",$D$2),$D$2)</f>
        <v xml:space="preserve">HIT THE FLOOR         </v>
      </c>
      <c r="E20" s="3" t="s">
        <v>0</v>
      </c>
      <c r="F20" t="str">
        <f>" "&amp;LEFTB(Sheet1!C17&amp;REPT(" ",$F$2),$F$2)</f>
        <v xml:space="preserve"> 1xydra, Denzel Curry, Stokeley Goulbourne, Jordan Ortiz, Nelida Yew                                                                                                                                                                                            </v>
      </c>
      <c r="G20" s="3" t="s">
        <v>0</v>
      </c>
      <c r="H20" t="str">
        <f>LEFTB(Sheet1!D17&amp;REPT(" ",$H$2),$H$2)</f>
        <v xml:space="preserve">Denzel Curry feat. Ski Mask the Slump God    </v>
      </c>
      <c r="I20" s="3" t="s">
        <v>0</v>
      </c>
      <c r="J20" s="2" t="str">
        <f>TEXT(Sheet1!E17,"HH:MM")&amp;" "</f>
        <v xml:space="preserve">03:26 </v>
      </c>
      <c r="K20" s="3" t="s">
        <v>0</v>
      </c>
    </row>
    <row r="21" spans="1:11">
      <c r="A21" t="s">
        <v>0</v>
      </c>
      <c r="B21">
        <f>Sheet1!A18</f>
        <v>17</v>
      </c>
      <c r="C21" s="3" t="s">
        <v>0</v>
      </c>
      <c r="D21" t="str">
        <f>LEFTB(Sheet1!B18&amp;REPT(" ",$D$2),$D$2)</f>
        <v xml:space="preserve">STILL IN THE PAINT    </v>
      </c>
      <c r="E21" s="3" t="s">
        <v>0</v>
      </c>
      <c r="F21" t="str">
        <f>" "&amp;LEFTB(Sheet1!C18&amp;REPT(" ",$F$2),$F$2)</f>
        <v xml:space="preserve"> Denzel Curry, LAZER DIM 700, Bktherula, Charlie Heat, Waka Flocka Flame                                                                                                                                                                                        </v>
      </c>
      <c r="G21" s="3" t="s">
        <v>0</v>
      </c>
      <c r="H21" t="str">
        <f>LEFTB(Sheet1!D18&amp;REPT(" ",$H$2),$H$2)</f>
        <v xml:space="preserve">Denzel Curry feat. LAZER DIM 700, Btherula   </v>
      </c>
      <c r="I21" s="3" t="s">
        <v>0</v>
      </c>
      <c r="J21" s="2" t="str">
        <f>TEXT(Sheet1!E18,"HH:MM")&amp;" "</f>
        <v xml:space="preserve">03:53 </v>
      </c>
      <c r="K21" s="3" t="s">
        <v>0</v>
      </c>
    </row>
    <row r="22" spans="1:11">
      <c r="A22" t="s">
        <v>0</v>
      </c>
      <c r="B22">
        <f>Sheet1!A19</f>
        <v>18</v>
      </c>
      <c r="C22" s="3" t="s">
        <v>0</v>
      </c>
      <c r="D22" t="str">
        <f>LEFTB(Sheet1!B19&amp;REPT(" ",$D$2),$D$2)</f>
        <v xml:space="preserve">HOODLUMZ              </v>
      </c>
      <c r="E22" s="3" t="s">
        <v>0</v>
      </c>
      <c r="F22" t="str">
        <f>" "&amp;LEFTB(Sheet1!C19&amp;REPT(" ",$F$2),$F$2)</f>
        <v xml:space="preserve"> Denzel Curry, Kwes Darko, Darius Hill, Derrick Dewayne Hill, Jordan Houston,                   Isaiah Loubeau, Rakim Mayers                                                                                                                                    </v>
      </c>
      <c r="G22" s="3" t="s">
        <v>0</v>
      </c>
      <c r="H22" t="str">
        <f>LEFTB(Sheet1!D19&amp;REPT(" ",$H$2),$H$2)</f>
        <v>Denzel Curry feat. Playthatboizay, A$AP Rocky</v>
      </c>
      <c r="I22" s="3" t="s">
        <v>0</v>
      </c>
      <c r="J22" s="2" t="str">
        <f>TEXT(Sheet1!E19,"HH:MM")&amp;" "</f>
        <v xml:space="preserve">02:09 </v>
      </c>
      <c r="K22" s="3" t="s">
        <v>0</v>
      </c>
    </row>
    <row r="23" spans="1:11">
      <c r="A23" t="s">
        <v>0</v>
      </c>
      <c r="B23">
        <f>Sheet1!A20</f>
        <v>19</v>
      </c>
      <c r="C23" s="3" t="s">
        <v>0</v>
      </c>
      <c r="D23" t="str">
        <f>LEFTB(Sheet1!B20&amp;REPT(" ",$D$2),$D$2)</f>
        <v xml:space="preserve">KOTMS II (OUTRO)      </v>
      </c>
      <c r="E23" s="3" t="s">
        <v>0</v>
      </c>
      <c r="F23" t="str">
        <f>" "&amp;LEFTB(Sheet1!C20&amp;REPT(" ",$F$2),$F$2)</f>
        <v xml:space="preserve"> Denzel Curry, Darius Hill, Derrick Dewayne Hill                                                                                                                                                                                                                </v>
      </c>
      <c r="G23" s="3" t="s">
        <v>0</v>
      </c>
      <c r="H23" t="str">
        <f>LEFTB(Sheet1!D20&amp;REPT(" ",$H$2),$H$2)</f>
        <v xml:space="preserve">Denzel Curry feat. Kingpin Skinny Pimp       </v>
      </c>
      <c r="I23" s="3" t="s">
        <v>0</v>
      </c>
      <c r="J23" s="2" t="str">
        <f>TEXT(Sheet1!E20,"HH:MM")&amp;" "</f>
        <v xml:space="preserve">00:31 </v>
      </c>
      <c r="K23" s="3" t="s">
        <v>0</v>
      </c>
    </row>
    <row r="24" spans="1:11">
      <c r="A24" t="s">
        <v>0</v>
      </c>
      <c r="B24">
        <f>Sheet1!A21</f>
        <v>0</v>
      </c>
      <c r="C24" s="3" t="s">
        <v>0</v>
      </c>
      <c r="D24" t="str">
        <f>LEFTB(Sheet1!B21&amp;REPT(" ",$D$2),$D$2)</f>
        <v xml:space="preserve">                      </v>
      </c>
      <c r="E24" s="3" t="s">
        <v>0</v>
      </c>
      <c r="F24" t="str">
        <f>" "&amp;LEFTB(Sheet1!C21&amp;REPT(" ",$F$2),$F$2)</f>
        <v xml:space="preserve">                                                                                                                                                                                                                                                                </v>
      </c>
      <c r="G24" s="3" t="s">
        <v>0</v>
      </c>
      <c r="H24" t="str">
        <f>LEFTB(Sheet1!D21&amp;REPT(" ",$H$2),$H$2)</f>
        <v xml:space="preserve">                                             </v>
      </c>
      <c r="I24" s="3" t="s">
        <v>0</v>
      </c>
      <c r="J24" s="2" t="str">
        <f>TEXT(Sheet1!E21,"HH:MM")&amp;" "</f>
        <v xml:space="preserve">00:00 </v>
      </c>
      <c r="K24" s="3" t="s">
        <v>0</v>
      </c>
    </row>
    <row r="25" spans="1:11">
      <c r="A25" t="s">
        <v>0</v>
      </c>
      <c r="B25">
        <f>Sheet1!A22</f>
        <v>0</v>
      </c>
      <c r="C25" s="3" t="s">
        <v>0</v>
      </c>
      <c r="D25" t="str">
        <f>LEFTB(Sheet1!B22&amp;REPT(" ",$D$2),$D$2)</f>
        <v xml:space="preserve">                      </v>
      </c>
      <c r="E25" s="3" t="s">
        <v>0</v>
      </c>
      <c r="F25" t="str">
        <f>" "&amp;LEFTB(Sheet1!C22&amp;REPT(" ",$F$2),$F$2)</f>
        <v xml:space="preserve">                                                                                                                                                                                                                                                                </v>
      </c>
      <c r="G25" s="3" t="s">
        <v>0</v>
      </c>
      <c r="H25" t="str">
        <f>LEFTB(Sheet1!D22&amp;REPT(" ",$H$2),$H$2)</f>
        <v xml:space="preserve">                                             </v>
      </c>
      <c r="I25" s="3" t="s">
        <v>0</v>
      </c>
      <c r="J25" s="2" t="str">
        <f>TEXT(Sheet1!E22,"HH:MM")&amp;" "</f>
        <v xml:space="preserve">00:00 </v>
      </c>
      <c r="K25" s="3" t="s">
        <v>0</v>
      </c>
    </row>
    <row r="26" spans="1:11">
      <c r="A26" t="s">
        <v>0</v>
      </c>
      <c r="B26">
        <f>Sheet1!A23</f>
        <v>0</v>
      </c>
      <c r="C26" s="3" t="s">
        <v>0</v>
      </c>
      <c r="D26" t="str">
        <f>LEFTB(Sheet1!B23&amp;REPT(" ",$D$2),$D$2)</f>
        <v xml:space="preserve">                      </v>
      </c>
      <c r="E26" s="3" t="s">
        <v>0</v>
      </c>
      <c r="F26" t="str">
        <f>" "&amp;LEFTB(Sheet1!C23&amp;REPT(" ",$F$2),$F$2)</f>
        <v xml:space="preserve">                                                                                                                                                                                                                                                                </v>
      </c>
      <c r="G26" s="3" t="s">
        <v>0</v>
      </c>
      <c r="H26" t="str">
        <f>LEFTB(Sheet1!D23&amp;REPT(" ",$H$2),$H$2)</f>
        <v xml:space="preserve">                                             </v>
      </c>
      <c r="I26" s="3" t="s">
        <v>0</v>
      </c>
      <c r="J26" s="2" t="str">
        <f>TEXT(Sheet1!E23,"HH:MM")&amp;" "</f>
        <v xml:space="preserve">00:00 </v>
      </c>
      <c r="K26" s="3" t="s">
        <v>0</v>
      </c>
    </row>
    <row r="27" spans="1:11">
      <c r="A27" t="s">
        <v>0</v>
      </c>
      <c r="B27">
        <f>Sheet1!A24</f>
        <v>0</v>
      </c>
      <c r="C27" s="3" t="s">
        <v>0</v>
      </c>
      <c r="D27" t="str">
        <f>LEFTB(Sheet1!B24&amp;REPT(" ",$D$2),$D$2)</f>
        <v xml:space="preserve">                      </v>
      </c>
      <c r="E27" s="3" t="s">
        <v>0</v>
      </c>
      <c r="F27" t="str">
        <f>" "&amp;LEFTB(Sheet1!C24&amp;REPT(" ",$F$2),$F$2)</f>
        <v xml:space="preserve">                                                                                                                                                                                                                                                                </v>
      </c>
      <c r="G27" s="3" t="s">
        <v>0</v>
      </c>
      <c r="H27" t="str">
        <f>LEFTB(Sheet1!D24&amp;REPT(" ",$H$2),$H$2)</f>
        <v xml:space="preserve">                                             </v>
      </c>
      <c r="I27" s="3" t="s">
        <v>0</v>
      </c>
      <c r="J27" s="2" t="str">
        <f>TEXT(Sheet1!E24,"HH:MM")&amp;" "</f>
        <v xml:space="preserve">00:00 </v>
      </c>
      <c r="K27" s="3" t="s">
        <v>0</v>
      </c>
    </row>
    <row r="28" spans="1:11">
      <c r="A28" t="s">
        <v>0</v>
      </c>
      <c r="B28">
        <f>Sheet1!A25</f>
        <v>0</v>
      </c>
      <c r="C28" s="3" t="s">
        <v>0</v>
      </c>
      <c r="D28" t="str">
        <f>LEFTB(Sheet1!B25&amp;REPT(" ",$D$2),$D$2)</f>
        <v xml:space="preserve">                      </v>
      </c>
      <c r="E28" s="3" t="s">
        <v>0</v>
      </c>
      <c r="F28" t="str">
        <f>" "&amp;LEFTB(Sheet1!C25&amp;REPT(" ",$F$2),$F$2)</f>
        <v xml:space="preserve">                                                                                                                                                                                                                                                                </v>
      </c>
      <c r="G28" s="3" t="s">
        <v>0</v>
      </c>
      <c r="H28" t="str">
        <f>LEFTB(Sheet1!D25&amp;REPT(" ",$H$2),$H$2)</f>
        <v xml:space="preserve">                                             </v>
      </c>
      <c r="I28" s="3" t="s">
        <v>0</v>
      </c>
      <c r="J28" s="2" t="str">
        <f>TEXT(Sheet1!E25,"HH:MM")&amp;" "</f>
        <v xml:space="preserve">00:00 </v>
      </c>
      <c r="K28" s="3" t="s">
        <v>0</v>
      </c>
    </row>
    <row r="29" spans="1:11">
      <c r="A29" t="s">
        <v>0</v>
      </c>
      <c r="B29">
        <f>Sheet1!A26</f>
        <v>0</v>
      </c>
      <c r="C29" s="3" t="s">
        <v>0</v>
      </c>
      <c r="D29" t="str">
        <f>LEFTB(Sheet1!B26&amp;REPT(" ",$D$2),$D$2)</f>
        <v xml:space="preserve">                      </v>
      </c>
      <c r="E29" s="3" t="s">
        <v>0</v>
      </c>
      <c r="F29" t="str">
        <f>" "&amp;LEFTB(Sheet1!C26&amp;REPT(" ",$F$2),$F$2)</f>
        <v xml:space="preserve">                                                                                                                                                                                                                                                                </v>
      </c>
      <c r="G29" s="3" t="s">
        <v>0</v>
      </c>
      <c r="H29" t="str">
        <f>LEFTB(Sheet1!D26&amp;REPT(" ",$H$2),$H$2)</f>
        <v xml:space="preserve">                                             </v>
      </c>
      <c r="I29" s="3" t="s">
        <v>0</v>
      </c>
      <c r="J29" s="2" t="str">
        <f>TEXT(Sheet1!E26,"HH:MM")&amp;" "</f>
        <v xml:space="preserve">00:00 </v>
      </c>
      <c r="K29" s="3" t="s">
        <v>0</v>
      </c>
    </row>
    <row r="30" spans="1:11">
      <c r="A30" t="s">
        <v>0</v>
      </c>
      <c r="B30">
        <f>Sheet1!A27</f>
        <v>0</v>
      </c>
      <c r="C30" s="3" t="s">
        <v>0</v>
      </c>
      <c r="D30" t="str">
        <f>LEFTB(Sheet1!B27&amp;REPT(" ",$D$2),$D$2)</f>
        <v xml:space="preserve">                      </v>
      </c>
      <c r="E30" s="3" t="s">
        <v>0</v>
      </c>
      <c r="F30" t="str">
        <f>" "&amp;LEFTB(Sheet1!C27&amp;REPT(" ",$F$2),$F$2)</f>
        <v xml:space="preserve">                                                                                                                                                                                                                                                                </v>
      </c>
      <c r="G30" s="3" t="s">
        <v>0</v>
      </c>
      <c r="H30" t="str">
        <f>LEFTB(Sheet1!D27&amp;REPT(" ",$H$2),$H$2)</f>
        <v xml:space="preserve">                                             </v>
      </c>
      <c r="I30" s="3" t="s">
        <v>0</v>
      </c>
      <c r="J30" s="2" t="str">
        <f>TEXT(Sheet1!E27,"HH:MM")&amp;" "</f>
        <v xml:space="preserve">00:00 </v>
      </c>
      <c r="K30" s="3" t="s">
        <v>0</v>
      </c>
    </row>
  </sheetData>
  <phoneticPr fontId="1"/>
  <pageMargins left="0.7" right="0.7" top="0.75" bottom="0.75" header="0.3" footer="0.3"/>
  <pageSetup paperSize="9" orientation="portrait" horizontalDpi="200" verticalDpi="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A9471-B893-452C-A2E5-2BE2DE962EC8}">
  <dimension ref="A1:E20"/>
  <sheetViews>
    <sheetView workbookViewId="0">
      <selection sqref="A1:XFD1048576"/>
    </sheetView>
  </sheetViews>
  <sheetFormatPr defaultRowHeight="19.8"/>
  <cols>
    <col min="1" max="1" width="10.81640625" bestFit="1" customWidth="1"/>
    <col min="2" max="2" width="26" bestFit="1" customWidth="1"/>
    <col min="3" max="3" width="80.7265625" bestFit="1" customWidth="1"/>
    <col min="4" max="4" width="42.7265625" bestFit="1" customWidth="1"/>
    <col min="5" max="5" width="7.54296875" bestFit="1" customWidth="1"/>
  </cols>
  <sheetData>
    <row r="1" spans="1:5">
      <c r="A1" t="s">
        <v>7</v>
      </c>
      <c r="B1" t="s">
        <v>4</v>
      </c>
      <c r="C1" t="s">
        <v>3</v>
      </c>
      <c r="D1" t="s">
        <v>6</v>
      </c>
      <c r="E1" t="s">
        <v>5</v>
      </c>
    </row>
    <row r="2" spans="1:5">
      <c r="A2">
        <v>1</v>
      </c>
      <c r="B2" s="6" t="s">
        <v>8</v>
      </c>
      <c r="C2" s="6" t="s">
        <v>9</v>
      </c>
      <c r="D2" s="6" t="s">
        <v>10</v>
      </c>
      <c r="E2" s="5">
        <v>2.2916666666666665E-2</v>
      </c>
    </row>
    <row r="3" spans="1:5">
      <c r="A3">
        <v>2</v>
      </c>
      <c r="B3" s="6" t="s">
        <v>11</v>
      </c>
      <c r="C3" s="6" t="s">
        <v>12</v>
      </c>
      <c r="D3" s="6" t="s">
        <v>13</v>
      </c>
      <c r="E3" s="5">
        <v>0.1361111111111111</v>
      </c>
    </row>
    <row r="4" spans="1:5">
      <c r="A4">
        <v>3</v>
      </c>
      <c r="B4" s="6" t="s">
        <v>14</v>
      </c>
      <c r="C4" s="6" t="s">
        <v>15</v>
      </c>
      <c r="D4" s="6" t="s">
        <v>16</v>
      </c>
      <c r="E4" s="5">
        <v>0.1111111111111111</v>
      </c>
    </row>
    <row r="5" spans="1:5">
      <c r="A5">
        <v>4</v>
      </c>
      <c r="B5" s="6" t="s">
        <v>17</v>
      </c>
      <c r="C5" s="6" t="s">
        <v>18</v>
      </c>
      <c r="D5" s="6" t="s">
        <v>19</v>
      </c>
      <c r="E5" s="5">
        <v>0.11458333333333333</v>
      </c>
    </row>
    <row r="6" spans="1:5">
      <c r="A6">
        <v>5</v>
      </c>
      <c r="B6" s="6" t="s">
        <v>20</v>
      </c>
      <c r="C6" s="6" t="s">
        <v>21</v>
      </c>
      <c r="D6" s="6" t="s">
        <v>22</v>
      </c>
      <c r="E6" s="5">
        <v>0.15486111111111112</v>
      </c>
    </row>
    <row r="7" spans="1:5">
      <c r="A7">
        <v>6</v>
      </c>
      <c r="B7" s="6" t="s">
        <v>23</v>
      </c>
      <c r="C7" s="6" t="s">
        <v>24</v>
      </c>
      <c r="D7" s="6" t="s">
        <v>25</v>
      </c>
      <c r="E7" s="5">
        <v>0.14374999999999999</v>
      </c>
    </row>
    <row r="8" spans="1:5">
      <c r="A8">
        <v>7</v>
      </c>
      <c r="B8" s="6" t="s">
        <v>26</v>
      </c>
      <c r="C8" s="6" t="s">
        <v>27</v>
      </c>
      <c r="D8" s="6" t="s">
        <v>10</v>
      </c>
      <c r="E8" s="5">
        <v>2.013888888888889E-2</v>
      </c>
    </row>
    <row r="9" spans="1:5">
      <c r="A9">
        <v>8</v>
      </c>
      <c r="B9" s="6" t="s">
        <v>28</v>
      </c>
      <c r="C9" s="6" t="s">
        <v>29</v>
      </c>
      <c r="D9" s="6" t="s">
        <v>30</v>
      </c>
      <c r="E9" s="5">
        <v>0.14791666666666667</v>
      </c>
    </row>
    <row r="10" spans="1:5">
      <c r="A10">
        <v>9</v>
      </c>
      <c r="B10" s="6" t="s">
        <v>31</v>
      </c>
      <c r="C10" s="6" t="s">
        <v>32</v>
      </c>
      <c r="D10" s="6" t="s">
        <v>10</v>
      </c>
      <c r="E10" s="5">
        <v>2.7083333333333334E-2</v>
      </c>
    </row>
    <row r="11" spans="1:5">
      <c r="A11">
        <v>10</v>
      </c>
      <c r="B11" s="6" t="s">
        <v>33</v>
      </c>
      <c r="C11" s="6" t="s">
        <v>34</v>
      </c>
      <c r="D11" s="6" t="s">
        <v>35</v>
      </c>
      <c r="E11" s="5">
        <v>0.15486111111111112</v>
      </c>
    </row>
    <row r="12" spans="1:5">
      <c r="A12">
        <v>11</v>
      </c>
      <c r="B12" s="6" t="s">
        <v>36</v>
      </c>
      <c r="C12" s="6" t="s">
        <v>37</v>
      </c>
      <c r="D12" s="6" t="s">
        <v>38</v>
      </c>
      <c r="E12" s="5">
        <v>0.10555555555555556</v>
      </c>
    </row>
    <row r="13" spans="1:5">
      <c r="A13">
        <v>12</v>
      </c>
      <c r="B13" s="6" t="s">
        <v>39</v>
      </c>
      <c r="C13" s="6" t="s">
        <v>40</v>
      </c>
      <c r="D13" s="6" t="s">
        <v>41</v>
      </c>
      <c r="E13" s="5">
        <v>0.15138888888888888</v>
      </c>
    </row>
    <row r="14" spans="1:5">
      <c r="A14">
        <v>13</v>
      </c>
      <c r="B14" s="6" t="s">
        <v>42</v>
      </c>
      <c r="C14" s="6" t="s">
        <v>43</v>
      </c>
      <c r="D14" s="6" t="s">
        <v>44</v>
      </c>
      <c r="E14" s="5">
        <v>0.16805555555555557</v>
      </c>
    </row>
    <row r="15" spans="1:5">
      <c r="A15">
        <v>14</v>
      </c>
      <c r="B15" s="6" t="s">
        <v>45</v>
      </c>
      <c r="C15" s="6" t="s">
        <v>46</v>
      </c>
      <c r="D15" s="6" t="s">
        <v>47</v>
      </c>
      <c r="E15" s="5">
        <v>0.12222222222222222</v>
      </c>
    </row>
    <row r="16" spans="1:5">
      <c r="A16">
        <v>15</v>
      </c>
      <c r="B16" s="6" t="s">
        <v>48</v>
      </c>
      <c r="C16" s="6" t="s">
        <v>49</v>
      </c>
      <c r="D16" s="6" t="s">
        <v>50</v>
      </c>
      <c r="E16" s="5">
        <v>0.12916666666666668</v>
      </c>
    </row>
    <row r="17" spans="1:5">
      <c r="A17">
        <v>16</v>
      </c>
      <c r="B17" s="6" t="s">
        <v>51</v>
      </c>
      <c r="C17" s="6" t="s">
        <v>52</v>
      </c>
      <c r="D17" s="6" t="s">
        <v>53</v>
      </c>
      <c r="E17" s="5">
        <v>0.14305555555555555</v>
      </c>
    </row>
    <row r="18" spans="1:5">
      <c r="A18">
        <v>17</v>
      </c>
      <c r="B18" s="6" t="s">
        <v>54</v>
      </c>
      <c r="C18" s="6" t="s">
        <v>55</v>
      </c>
      <c r="D18" s="6" t="s">
        <v>56</v>
      </c>
      <c r="E18" s="5">
        <v>0.16180555555555556</v>
      </c>
    </row>
    <row r="19" spans="1:5">
      <c r="A19">
        <v>18</v>
      </c>
      <c r="B19" s="6" t="s">
        <v>57</v>
      </c>
      <c r="C19" s="6" t="s">
        <v>58</v>
      </c>
      <c r="D19" s="6" t="s">
        <v>59</v>
      </c>
      <c r="E19" s="5">
        <v>8.9583333333333334E-2</v>
      </c>
    </row>
    <row r="20" spans="1:5">
      <c r="A20">
        <v>19</v>
      </c>
      <c r="B20" s="6" t="s">
        <v>60</v>
      </c>
      <c r="C20" s="6" t="s">
        <v>61</v>
      </c>
      <c r="D20" s="6" t="s">
        <v>10</v>
      </c>
      <c r="E20" s="5">
        <v>2.1527777777777778E-2</v>
      </c>
    </row>
  </sheetData>
  <phoneticPr fontId="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4F70-3CFA-4D7D-8B4F-8DB0EC8B0E73}">
  <dimension ref="E2:E16"/>
  <sheetViews>
    <sheetView workbookViewId="0">
      <selection sqref="A1:XFD1048576"/>
    </sheetView>
  </sheetViews>
  <sheetFormatPr defaultRowHeight="19.8"/>
  <cols>
    <col min="1" max="1" width="11" bestFit="1" customWidth="1"/>
    <col min="2" max="2" width="20.6328125" bestFit="1" customWidth="1"/>
    <col min="3" max="3" width="80.90625" bestFit="1" customWidth="1"/>
    <col min="4" max="4" width="38.453125" bestFit="1" customWidth="1"/>
    <col min="5" max="5" width="7.81640625" bestFit="1" customWidth="1"/>
  </cols>
  <sheetData>
    <row r="2" spans="5:5">
      <c r="E2" s="5"/>
    </row>
    <row r="3" spans="5:5">
      <c r="E3" s="5"/>
    </row>
    <row r="4" spans="5:5">
      <c r="E4" s="5"/>
    </row>
    <row r="5" spans="5:5">
      <c r="E5" s="5"/>
    </row>
    <row r="6" spans="5:5">
      <c r="E6" s="5"/>
    </row>
    <row r="7" spans="5:5">
      <c r="E7" s="5"/>
    </row>
    <row r="8" spans="5:5">
      <c r="E8" s="5"/>
    </row>
    <row r="9" spans="5:5">
      <c r="E9" s="5"/>
    </row>
    <row r="10" spans="5:5">
      <c r="E10" s="5"/>
    </row>
    <row r="11" spans="5:5">
      <c r="E11" s="5"/>
    </row>
    <row r="12" spans="5:5">
      <c r="E12" s="5"/>
    </row>
    <row r="13" spans="5:5">
      <c r="E13" s="5"/>
    </row>
    <row r="14" spans="5:5">
      <c r="E14" s="5"/>
    </row>
    <row r="15" spans="5:5">
      <c r="E15" s="5"/>
    </row>
    <row r="16" spans="5:5">
      <c r="E16" s="5"/>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35356AA-48A3-43B8-AC21-6CF0F69D2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Sheet1</vt:lpstr>
      <vt:lpstr>Sheet2</vt:lpstr>
      <vt:lpstr>テーブル 5 (25)</vt:lpstr>
      <vt:lpstr>テーブル 5 (23)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KAZUHIDE Yokoyama</dc:creator>
  <cp:lastModifiedBy>Yokoyama Kazuhide</cp:lastModifiedBy>
  <dcterms:created xsi:type="dcterms:W3CDTF">2020-06-01T02:07:32Z</dcterms:created>
  <dcterms:modified xsi:type="dcterms:W3CDTF">2024-12-30T05:58:10Z</dcterms:modified>
</cp:coreProperties>
</file>