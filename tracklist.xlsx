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FA5DD3C0-F83D-4D05-BDD0-F7E42E63B687}" xr6:coauthVersionLast="47" xr6:coauthVersionMax="47" xr10:uidLastSave="{00000000-0000-0000-0000-000000000000}"/>
  <bookViews>
    <workbookView xWindow="1170" yWindow="780" windowWidth="22830" windowHeight="14700" activeTab="1" xr2:uid="{00000000-000D-0000-FFFF-FFFF00000000}"/>
  </bookViews>
  <sheets>
    <sheet name="Sheet1" sheetId="1" r:id="rId1"/>
    <sheet name="Sheet2" sheetId="2" r:id="rId2"/>
    <sheet name="テーブル 5 (23)" sheetId="51" r:id="rId3"/>
    <sheet name="テーブル 5 (21)" sheetId="50" r:id="rId4"/>
    <sheet name="テーブル 5 (19)" sheetId="49" r:id="rId5"/>
    <sheet name="テーブル 5 (17)" sheetId="48" r:id="rId6"/>
    <sheet name="テーブル 5 (15)" sheetId="47" r:id="rId7"/>
    <sheet name="テーブル 5 (13)" sheetId="46" r:id="rId8"/>
    <sheet name="テーブル 5 (11)" sheetId="45" r:id="rId9"/>
  </sheets>
  <definedNames>
    <definedName name="ExternalData_1" localSheetId="0" hidden="1">Sheet1!$A$1:$E$16</definedName>
    <definedName name="ExternalData_1" localSheetId="2" hidden="1">'テーブル 5 (23)'!$A$1:$E$16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97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98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9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0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0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0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<sst xmlns="http://schemas.openxmlformats.org/spreadsheetml/2006/main" count="270" uniqueCount="37">
  <si>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</si>
  <si>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</si>
  <si>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</si>
  <si>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</si>
  <si>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</si>
  <si>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</si>
  <si>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</si>
  <si>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</si>
  <si>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Little Wing</t>
  </si>
  <si>
    <t>Sia Furler / Jesse Shatkin</t>
  </si>
  <si>
    <t>Sia</t>
  </si>
  <si>
    <t>Immortal Queen</t>
  </si>
  <si>
    <t>Sia Furler / Chaka Khan / Greg Kurstin</t>
  </si>
  <si>
    <t>Sia feat. Chaka Khan</t>
  </si>
  <si>
    <t>Dance Alone</t>
  </si>
  <si>
    <t>Siafeat. Kylie Minogue</t>
  </si>
  <si>
    <t>I Had a Heart</t>
  </si>
  <si>
    <t>Sia Furler / Jesse Shatkin / Rosalia Vila Tobella</t>
  </si>
  <si>
    <t>Gimme Love</t>
  </si>
  <si>
    <t>Nowhere To Be</t>
  </si>
  <si>
    <t>Towards the Sun</t>
  </si>
  <si>
    <t>Incredible</t>
  </si>
  <si>
    <t>Sia Furler / Labrinth</t>
  </si>
  <si>
    <t>Sia feat. Labrinth</t>
  </si>
  <si>
    <t>Champion</t>
  </si>
  <si>
    <t>Sia feat. Tierra Whack, Kaliii, Jimmy Jolliff</t>
  </si>
  <si>
    <t>I Forgive You</t>
  </si>
  <si>
    <t>Sia Furler / Greg Kurstin</t>
  </si>
  <si>
    <t>Wanna Be Known</t>
  </si>
  <si>
    <t>One Night</t>
  </si>
  <si>
    <t>B?low / Sia Furler / Gabriel Noel / Jesse Shatkin / Max Wolfgang</t>
  </si>
  <si>
    <t>Fame Won’t Love You</t>
  </si>
  <si>
    <t>Sia feat. Paris Hilton</t>
  </si>
  <si>
    <t>Go On</t>
  </si>
  <si>
    <t>Rock and Balloon</t>
  </si>
  <si>
    <t>Sia Furler / Joshua Goods / Charlie Heat / James Jolliff / Kaliii / Jesse                  Shatkin / Tierra Whack</t>
    <phoneticPr fontId="1"/>
  </si>
  <si>
    <t>Sia Furler / Jasper Lee Harris / Magnus August H?iberg / Benjamin Levin                  / Jesse Shatkin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</si>
</sst>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5" xr16:uid="{A31FB755-0AA7-4446-B9C3-A7D11335114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4" xr16:uid="{D4A99EA3-61E8-41E9-8321-60692A1C02C3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5C334B-F4D5-48A0-8CD4-7DA6FB963930}" name="テーブル_5__233" displayName="テーブル_5__233" ref="A1:E16" tableType="queryTable" totalsRowShown="0">
  <autoFilter ref="A1:E16" xr:uid="{0D5C334B-F4D5-48A0-8CD4-7DA6FB963930}"/>
  <tableColumns count="5">
    <tableColumn id="1" xr3:uid="{53994261-F6AA-4F8C-B11F-06EAC7B720A3}" uniqueName="1" name="Column1" queryTableFieldId="1"/>
    <tableColumn id="2" xr3:uid="{3F5454BA-7E08-4540-AE39-B82580D7C0D6}" uniqueName="2" name="Title" queryTableFieldId="2" dataDxfId="3"/>
    <tableColumn id="3" xr3:uid="{E4055724-AFDE-4757-9061-735840C7EF5A}" uniqueName="3" name="Composer" queryTableFieldId="3" dataDxfId="2"/>
    <tableColumn id="4" xr3:uid="{6D751C71-1197-4FA2-A9CD-89468959C242}" uniqueName="4" name="Performer" queryTableFieldId="4" dataDxfId="1"/>
    <tableColumn id="5" xr3:uid="{E3E8E047-EDD6-4F21-BF6C-F5D9CA288CAF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8B562F-9D85-4AF1-94D8-1133831ADBFE}" name="テーブル_5__23" displayName="テーブル_5__23" ref="A1:E16" tableType="queryTable" totalsRowShown="0">
  <autoFilter ref="A1:E16" xr:uid="{778B562F-9D85-4AF1-94D8-1133831ADBFE}"/>
  <tableColumns count="5">
    <tableColumn id="1" xr3:uid="{A1A3F60D-B74A-42FD-9891-D03F7DF39879}" uniqueName="1" name="Column1" queryTableFieldId="1"/>
    <tableColumn id="2" xr3:uid="{E7BC024D-909D-4B20-91E0-D1379F412033}" uniqueName="2" name="Title" queryTableFieldId="2" dataDxfId="7"/>
    <tableColumn id="3" xr3:uid="{900515E2-B1BD-4BFD-AC3D-15FA6EA2BD6F}" uniqueName="3" name="Composer" queryTableFieldId="3" dataDxfId="6"/>
    <tableColumn id="4" xr3:uid="{51DDC6BF-873E-4B94-A2E6-FBF2F6ED49D0}" uniqueName="4" name="Performer" queryTableFieldId="4" dataDxfId="5"/>
    <tableColumn id="5" xr3:uid="{7EF3B1CF-8E00-410F-8067-67198286A9C8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sqref="A1:E16"/>
    </sheetView>
  </sheetViews>
  <sheetFormatPr defaultRowHeight="19.5"/>
  <cols>
    <col min="1" max="1" width="11" bestFit="1" customWidth="1"/>
    <col min="2" max="2" width="20.88671875" bestFit="1" customWidth="1"/>
    <col min="3" max="3" width="66.77734375" bestFit="1" customWidth="1"/>
    <col min="4" max="4" width="12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0.13750000000000001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0.13819444444444445</v>
      </c>
    </row>
    <row r="4" spans="1:5">
      <c r="A4">
        <v>3</v>
      </c>
      <c r="B4" s="6" t="s">
        <v>14</v>
      </c>
      <c r="C4" s="6" t="s">
        <v>9</v>
      </c>
      <c r="D4" s="6" t="s">
        <v>15</v>
      </c>
      <c r="E4" s="5">
        <v>0.11944444444444445</v>
      </c>
    </row>
    <row r="5" spans="1:5">
      <c r="A5">
        <v>4</v>
      </c>
      <c r="B5" s="6" t="s">
        <v>16</v>
      </c>
      <c r="C5" s="6" t="s">
        <v>17</v>
      </c>
      <c r="D5" s="6" t="s">
        <v>10</v>
      </c>
      <c r="E5" s="5">
        <v>0.11666666666666667</v>
      </c>
    </row>
    <row r="6" spans="1:5">
      <c r="A6">
        <v>5</v>
      </c>
      <c r="B6" s="6" t="s">
        <v>18</v>
      </c>
      <c r="C6" s="6" t="s">
        <v>9</v>
      </c>
      <c r="D6" s="6" t="s">
        <v>10</v>
      </c>
      <c r="E6" s="5">
        <v>0.14861111111111111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0.1361111111111111</v>
      </c>
    </row>
    <row r="8" spans="1:5">
      <c r="A8">
        <v>7</v>
      </c>
      <c r="B8" s="6" t="s">
        <v>20</v>
      </c>
      <c r="C8" s="6" t="s">
        <v>9</v>
      </c>
      <c r="D8" s="6" t="s">
        <v>10</v>
      </c>
      <c r="E8" s="5">
        <v>0.11597222222222223</v>
      </c>
    </row>
    <row r="9" spans="1:5">
      <c r="A9">
        <v>8</v>
      </c>
      <c r="B9" s="6" t="s">
        <v>21</v>
      </c>
      <c r="C9" s="6" t="s">
        <v>22</v>
      </c>
      <c r="D9" s="6" t="s">
        <v>23</v>
      </c>
      <c r="E9" s="5">
        <v>0.14791666666666667</v>
      </c>
    </row>
    <row r="10" spans="1:5">
      <c r="A10">
        <v>9</v>
      </c>
      <c r="B10" s="6" t="s">
        <v>24</v>
      </c>
      <c r="C10" s="6" t="s">
        <v>35</v>
      </c>
      <c r="D10" s="6" t="s">
        <v>25</v>
      </c>
      <c r="E10" s="5">
        <v>0.1111111111111111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0.17986111111111111</v>
      </c>
    </row>
    <row r="12" spans="1:5">
      <c r="A12">
        <v>11</v>
      </c>
      <c r="B12" s="6" t="s">
        <v>28</v>
      </c>
      <c r="C12" s="6" t="s">
        <v>27</v>
      </c>
      <c r="D12" s="6" t="s">
        <v>10</v>
      </c>
      <c r="E12" s="5">
        <v>0.15694444444444444</v>
      </c>
    </row>
    <row r="13" spans="1:5">
      <c r="A13">
        <v>12</v>
      </c>
      <c r="B13" s="6" t="s">
        <v>29</v>
      </c>
      <c r="C13" s="6" t="s">
        <v>30</v>
      </c>
      <c r="D13" s="6" t="s">
        <v>10</v>
      </c>
      <c r="E13" s="5">
        <v>0.12361111111111112</v>
      </c>
    </row>
    <row r="14" spans="1:5">
      <c r="A14">
        <v>13</v>
      </c>
      <c r="B14" s="6" t="s">
        <v>31</v>
      </c>
      <c r="C14" s="6" t="s">
        <v>27</v>
      </c>
      <c r="D14" s="6" t="s">
        <v>32</v>
      </c>
      <c r="E14" s="5">
        <v>0.13819444444444445</v>
      </c>
    </row>
    <row r="15" spans="1:5">
      <c r="A15">
        <v>14</v>
      </c>
      <c r="B15" s="6" t="s">
        <v>33</v>
      </c>
      <c r="C15" s="6" t="s">
        <v>36</v>
      </c>
      <c r="D15" s="6" t="s">
        <v>10</v>
      </c>
      <c r="E15" s="5">
        <v>0.13472222222222222</v>
      </c>
    </row>
    <row r="16" spans="1:5">
      <c r="A16">
        <v>15</v>
      </c>
      <c r="B16" s="6" t="s">
        <v>34</v>
      </c>
      <c r="C16" s="6" t="s">
        <v>9</v>
      </c>
      <c r="D16" s="6" t="s">
        <v>10</v>
      </c>
      <c r="E16" s="5">
        <v>0.16666666666666666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20</v>
      </c>
      <c r="F2" s="1">
        <f t="array" ref="F2">MAX(LENB(Sheet1!C1:'Sheet1'!C30))</f>
        <v>113</v>
      </c>
      <c r="H2" s="1">
        <f t="array" ref="H2">MAX(LENB(Sheet1!D1:'Sheet1'!D30))</f>
        <v>45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Little Wing         </v>
      </c>
      <c r="E5" s="3" t="s">
        <v>0</v>
      </c>
      <c r="F5" t="str">
        <f>" "&amp;LEFTB(Sheet1!C2&amp;REPT(" ",$F$2),$F$2)</f>
        <v xml:space="preserve"> Sia Furler / Jesse Shatkin                                                                                       </v>
      </c>
      <c r="G5" s="3" t="s">
        <v>0</v>
      </c>
      <c r="H5" t="str">
        <f>LEFTB(Sheet1!D2&amp;REPT(" ",$H$2),$H$2)</f>
        <v xml:space="preserve">Sia                                          </v>
      </c>
      <c r="I5" s="3" t="s">
        <v>0</v>
      </c>
      <c r="J5" s="2" t="str">
        <f>TEXT(Sheet1!E2,"HH:MM")&amp;" "</f>
        <v xml:space="preserve">03:18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Immortal Queen      </v>
      </c>
      <c r="E6" s="3" t="s">
        <v>0</v>
      </c>
      <c r="F6" t="str">
        <f>" "&amp;LEFTB(Sheet1!C3&amp;REPT(" ",$F$2),$F$2)</f>
        <v xml:space="preserve"> Sia Furler / Chaka Khan / Greg Kurstin                                                                           </v>
      </c>
      <c r="G6" s="3" t="s">
        <v>0</v>
      </c>
      <c r="H6" t="str">
        <f>LEFTB(Sheet1!D3&amp;REPT(" ",$H$2),$H$2)</f>
        <v xml:space="preserve">Sia feat. Chaka Khan                         </v>
      </c>
      <c r="I6" s="3" t="s">
        <v>0</v>
      </c>
      <c r="J6" s="2" t="str">
        <f>TEXT(Sheet1!E3,"HH:MM")&amp;" "</f>
        <v xml:space="preserve">03:19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Dance Alone         </v>
      </c>
      <c r="E7" s="3" t="s">
        <v>0</v>
      </c>
      <c r="F7" t="str">
        <f>" "&amp;LEFTB(Sheet1!C4&amp;REPT(" ",$F$2),$F$2)</f>
        <v xml:space="preserve"> Sia Furler / Jesse Shatkin                                                                                       </v>
      </c>
      <c r="G7" s="3" t="s">
        <v>0</v>
      </c>
      <c r="H7" t="str">
        <f>LEFTB(Sheet1!D4&amp;REPT(" ",$H$2),$H$2)</f>
        <v xml:space="preserve">Siafeat. Kylie Minogue                       </v>
      </c>
      <c r="I7" s="3" t="s">
        <v>0</v>
      </c>
      <c r="J7" s="2" t="str">
        <f>TEXT(Sheet1!E4,"HH:MM")&amp;" "</f>
        <v xml:space="preserve">02:52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I Had a Heart       </v>
      </c>
      <c r="E8" s="3" t="s">
        <v>0</v>
      </c>
      <c r="F8" t="str">
        <f>" "&amp;LEFTB(Sheet1!C5&amp;REPT(" ",$F$2),$F$2)</f>
        <v xml:space="preserve"> Sia Furler / Jesse Shatkin / Rosalia Vila Tobella                                                                </v>
      </c>
      <c r="G8" s="3" t="s">
        <v>0</v>
      </c>
      <c r="H8" t="str">
        <f>LEFTB(Sheet1!D5&amp;REPT(" ",$H$2),$H$2)</f>
        <v xml:space="preserve">Sia                                          </v>
      </c>
      <c r="I8" s="3" t="s">
        <v>0</v>
      </c>
      <c r="J8" s="2" t="str">
        <f>TEXT(Sheet1!E5,"HH:MM")&amp;" "</f>
        <v xml:space="preserve">02:48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Gimme Love          </v>
      </c>
      <c r="E9" s="3" t="s">
        <v>0</v>
      </c>
      <c r="F9" t="str">
        <f>" "&amp;LEFTB(Sheet1!C6&amp;REPT(" ",$F$2),$F$2)</f>
        <v xml:space="preserve"> Sia Furler / Jesse Shatkin                                                                                       </v>
      </c>
      <c r="G9" s="3" t="s">
        <v>0</v>
      </c>
      <c r="H9" t="str">
        <f>LEFTB(Sheet1!D6&amp;REPT(" ",$H$2),$H$2)</f>
        <v xml:space="preserve">Sia                                          </v>
      </c>
      <c r="I9" s="3" t="s">
        <v>0</v>
      </c>
      <c r="J9" s="2" t="str">
        <f>TEXT(Sheet1!E6,"HH:MM")&amp;" "</f>
        <v xml:space="preserve">03:34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Nowhere To Be       </v>
      </c>
      <c r="E10" s="3" t="s">
        <v>0</v>
      </c>
      <c r="F10" t="str">
        <f>" "&amp;LEFTB(Sheet1!C7&amp;REPT(" ",$F$2),$F$2)</f>
        <v xml:space="preserve"> Sia Furler / Jesse Shatkin                                                                                       </v>
      </c>
      <c r="G10" s="3" t="s">
        <v>0</v>
      </c>
      <c r="H10" t="str">
        <f>LEFTB(Sheet1!D7&amp;REPT(" ",$H$2),$H$2)</f>
        <v xml:space="preserve">Sia                                          </v>
      </c>
      <c r="I10" s="3" t="s">
        <v>0</v>
      </c>
      <c r="J10" s="2" t="str">
        <f>TEXT(Sheet1!E7,"HH:MM")&amp;" "</f>
        <v xml:space="preserve">03:16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Towards the Sun     </v>
      </c>
      <c r="E11" s="3" t="s">
        <v>0</v>
      </c>
      <c r="F11" t="str">
        <f>" "&amp;LEFTB(Sheet1!C8&amp;REPT(" ",$F$2),$F$2)</f>
        <v xml:space="preserve"> Sia Furler / Jesse Shatkin                                                                                       </v>
      </c>
      <c r="G11" s="3" t="s">
        <v>0</v>
      </c>
      <c r="H11" t="str">
        <f>LEFTB(Sheet1!D8&amp;REPT(" ",$H$2),$H$2)</f>
        <v xml:space="preserve">Sia                                          </v>
      </c>
      <c r="I11" s="3" t="s">
        <v>0</v>
      </c>
      <c r="J11" s="2" t="str">
        <f>TEXT(Sheet1!E8,"HH:MM")&amp;" "</f>
        <v xml:space="preserve">02:47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Incredible          </v>
      </c>
      <c r="E12" s="3" t="s">
        <v>0</v>
      </c>
      <c r="F12" t="str">
        <f>" "&amp;LEFTB(Sheet1!C9&amp;REPT(" ",$F$2),$F$2)</f>
        <v xml:space="preserve"> Sia Furler / Labrinth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Sia feat. Labrinth                           </v>
      </c>
      <c r="I12" s="3" t="s">
        <v>0</v>
      </c>
      <c r="J12" s="2" t="str">
        <f>TEXT(Sheet1!E9,"HH:MM")&amp;" "</f>
        <v xml:space="preserve">03:33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Champion            </v>
      </c>
      <c r="E13" s="3" t="s">
        <v>0</v>
      </c>
      <c r="F13" t="str">
        <f>" "&amp;LEFTB(Sheet1!C10&amp;REPT(" ",$F$2),$F$2)</f>
        <v xml:space="preserve"> Sia Furler / Joshua Goods / Charlie Heat / James Jolliff / Kaliii / Jesse                  Shatkin / Tierra Whack</v>
      </c>
      <c r="G13" s="3" t="s">
        <v>0</v>
      </c>
      <c r="H13" t="str">
        <f>LEFTB(Sheet1!D10&amp;REPT(" ",$H$2),$H$2)</f>
        <v>Sia feat. Tierra Whack, Kaliii, Jimmy Jolliff</v>
      </c>
      <c r="I13" s="3" t="s">
        <v>0</v>
      </c>
      <c r="J13" s="2" t="str">
        <f>TEXT(Sheet1!E10,"HH:MM")&amp;" "</f>
        <v xml:space="preserve">02:40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I Forgive You       </v>
      </c>
      <c r="E14" s="3" t="s">
        <v>0</v>
      </c>
      <c r="F14" t="str">
        <f>" "&amp;LEFTB(Sheet1!C11&amp;REPT(" ",$F$2),$F$2)</f>
        <v xml:space="preserve"> Sia Furler / Greg Kurstin                                                                                        </v>
      </c>
      <c r="G14" s="3" t="s">
        <v>0</v>
      </c>
      <c r="H14" t="str">
        <f>LEFTB(Sheet1!D11&amp;REPT(" ",$H$2),$H$2)</f>
        <v xml:space="preserve">Sia                                          </v>
      </c>
      <c r="I14" s="3" t="s">
        <v>0</v>
      </c>
      <c r="J14" s="2" t="str">
        <f>TEXT(Sheet1!E11,"HH:MM")&amp;" "</f>
        <v xml:space="preserve">04:19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Wanna Be Known      </v>
      </c>
      <c r="E15" s="3" t="s">
        <v>0</v>
      </c>
      <c r="F15" t="str">
        <f>" "&amp;LEFTB(Sheet1!C12&amp;REPT(" ",$F$2),$F$2)</f>
        <v xml:space="preserve"> Sia Furler / Greg Kurstin                                                                                        </v>
      </c>
      <c r="G15" s="3" t="s">
        <v>0</v>
      </c>
      <c r="H15" t="str">
        <f>LEFTB(Sheet1!D12&amp;REPT(" ",$H$2),$H$2)</f>
        <v xml:space="preserve">Sia                                          </v>
      </c>
      <c r="I15" s="3" t="s">
        <v>0</v>
      </c>
      <c r="J15" s="2" t="str">
        <f>TEXT(Sheet1!E12,"HH:MM")&amp;" "</f>
        <v xml:space="preserve">03:46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One Night           </v>
      </c>
      <c r="E16" s="3" t="s">
        <v>0</v>
      </c>
      <c r="F16" t="str">
        <f>" "&amp;LEFTB(Sheet1!C13&amp;REPT(" ",$F$2),$F$2)</f>
        <v xml:space="preserve"> B?low / Sia Furler / Gabriel Noel / Jesse Shatkin / Max Wolfgang                                                 </v>
      </c>
      <c r="G16" s="3" t="s">
        <v>0</v>
      </c>
      <c r="H16" t="str">
        <f>LEFTB(Sheet1!D13&amp;REPT(" ",$H$2),$H$2)</f>
        <v xml:space="preserve">Sia                                          </v>
      </c>
      <c r="I16" s="3" t="s">
        <v>0</v>
      </c>
      <c r="J16" s="2" t="str">
        <f>TEXT(Sheet1!E13,"HH:MM")&amp;" "</f>
        <v xml:space="preserve">02:58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>Fame Won’t Love You</v>
      </c>
      <c r="E17" s="3" t="s">
        <v>0</v>
      </c>
      <c r="F17" t="str">
        <f>" "&amp;LEFTB(Sheet1!C14&amp;REPT(" ",$F$2),$F$2)</f>
        <v xml:space="preserve"> Sia Furler / Greg Kurstin                                                                                        </v>
      </c>
      <c r="G17" s="3" t="s">
        <v>0</v>
      </c>
      <c r="H17" t="str">
        <f>LEFTB(Sheet1!D14&amp;REPT(" ",$H$2),$H$2)</f>
        <v xml:space="preserve">Sia feat. Paris Hilton                       </v>
      </c>
      <c r="I17" s="3" t="s">
        <v>0</v>
      </c>
      <c r="J17" s="2" t="str">
        <f>TEXT(Sheet1!E14,"HH:MM")&amp;" "</f>
        <v xml:space="preserve">03:19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Go On               </v>
      </c>
      <c r="E18" s="3" t="s">
        <v>0</v>
      </c>
      <c r="F18" t="str">
        <f>" "&amp;LEFTB(Sheet1!C15&amp;REPT(" ",$F$2),$F$2)</f>
        <v xml:space="preserve"> Sia Furler / Jasper Lee Harris / Magnus August H?iberg / Benjamin Levin                  / Jesse Shatkin         </v>
      </c>
      <c r="G18" s="3" t="s">
        <v>0</v>
      </c>
      <c r="H18" t="str">
        <f>LEFTB(Sheet1!D15&amp;REPT(" ",$H$2),$H$2)</f>
        <v xml:space="preserve">Sia                                          </v>
      </c>
      <c r="I18" s="3" t="s">
        <v>0</v>
      </c>
      <c r="J18" s="2" t="str">
        <f>TEXT(Sheet1!E15,"HH:MM")&amp;" "</f>
        <v xml:space="preserve">03:14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Rock and Balloon    </v>
      </c>
      <c r="E19" s="3" t="s">
        <v>0</v>
      </c>
      <c r="F19" t="str">
        <f>" "&amp;LEFTB(Sheet1!C16&amp;REPT(" ",$F$2),$F$2)</f>
        <v xml:space="preserve"> Sia Furler / Jesse Shatkin                                                                                       </v>
      </c>
      <c r="G19" s="3" t="s">
        <v>0</v>
      </c>
      <c r="H19" t="str">
        <f>LEFTB(Sheet1!D16&amp;REPT(" ",$H$2),$H$2)</f>
        <v xml:space="preserve">Sia                                          </v>
      </c>
      <c r="I19" s="3" t="s">
        <v>0</v>
      </c>
      <c r="J19" s="2" t="str">
        <f>TEXT(Sheet1!E16,"HH:MM")&amp;" "</f>
        <v xml:space="preserve">04:00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A1:E16"/>
  <sheetViews>
    <sheetView topLeftCell="D1" workbookViewId="0">
      <selection activeCell="A16" sqref="A1:E16"/>
    </sheetView>
  </sheetViews>
  <sheetFormatPr defaultRowHeight="19.5"/>
  <cols>
    <col min="1" max="1" width="11" bestFit="1" customWidth="1"/>
    <col min="2" max="2" width="20.6640625" bestFit="1" customWidth="1"/>
    <col min="3" max="3" width="80.88671875" bestFit="1" customWidth="1"/>
    <col min="4" max="4" width="38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0.13750000000000001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0.13819444444444445</v>
      </c>
    </row>
    <row r="4" spans="1:5">
      <c r="A4">
        <v>3</v>
      </c>
      <c r="B4" s="6" t="s">
        <v>14</v>
      </c>
      <c r="C4" s="6" t="s">
        <v>9</v>
      </c>
      <c r="D4" s="6" t="s">
        <v>15</v>
      </c>
      <c r="E4" s="5">
        <v>0.11944444444444445</v>
      </c>
    </row>
    <row r="5" spans="1:5">
      <c r="A5">
        <v>4</v>
      </c>
      <c r="B5" s="6" t="s">
        <v>16</v>
      </c>
      <c r="C5" s="6" t="s">
        <v>17</v>
      </c>
      <c r="D5" s="6" t="s">
        <v>10</v>
      </c>
      <c r="E5" s="5">
        <v>0.11666666666666667</v>
      </c>
    </row>
    <row r="6" spans="1:5">
      <c r="A6">
        <v>5</v>
      </c>
      <c r="B6" s="6" t="s">
        <v>18</v>
      </c>
      <c r="C6" s="6" t="s">
        <v>9</v>
      </c>
      <c r="D6" s="6" t="s">
        <v>10</v>
      </c>
      <c r="E6" s="5">
        <v>0.14861111111111111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0.1361111111111111</v>
      </c>
    </row>
    <row r="8" spans="1:5">
      <c r="A8">
        <v>7</v>
      </c>
      <c r="B8" s="6" t="s">
        <v>20</v>
      </c>
      <c r="C8" s="6" t="s">
        <v>9</v>
      </c>
      <c r="D8" s="6" t="s">
        <v>10</v>
      </c>
      <c r="E8" s="5">
        <v>0.11597222222222223</v>
      </c>
    </row>
    <row r="9" spans="1:5">
      <c r="A9">
        <v>8</v>
      </c>
      <c r="B9" s="6" t="s">
        <v>21</v>
      </c>
      <c r="C9" s="6" t="s">
        <v>22</v>
      </c>
      <c r="D9" s="6" t="s">
        <v>23</v>
      </c>
      <c r="E9" s="5">
        <v>0.14791666666666667</v>
      </c>
    </row>
    <row r="10" spans="1:5">
      <c r="A10">
        <v>9</v>
      </c>
      <c r="B10" s="6" t="s">
        <v>24</v>
      </c>
      <c r="C10" s="6" t="s">
        <v>35</v>
      </c>
      <c r="D10" s="6" t="s">
        <v>25</v>
      </c>
      <c r="E10" s="5">
        <v>0.1111111111111111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0.17986111111111111</v>
      </c>
    </row>
    <row r="12" spans="1:5">
      <c r="A12">
        <v>11</v>
      </c>
      <c r="B12" s="6" t="s">
        <v>28</v>
      </c>
      <c r="C12" s="6" t="s">
        <v>27</v>
      </c>
      <c r="D12" s="6" t="s">
        <v>10</v>
      </c>
      <c r="E12" s="5">
        <v>0.15694444444444444</v>
      </c>
    </row>
    <row r="13" spans="1:5">
      <c r="A13">
        <v>12</v>
      </c>
      <c r="B13" s="6" t="s">
        <v>29</v>
      </c>
      <c r="C13" s="6" t="s">
        <v>30</v>
      </c>
      <c r="D13" s="6" t="s">
        <v>10</v>
      </c>
      <c r="E13" s="5">
        <v>0.12361111111111112</v>
      </c>
    </row>
    <row r="14" spans="1:5">
      <c r="A14">
        <v>13</v>
      </c>
      <c r="B14" s="6" t="s">
        <v>31</v>
      </c>
      <c r="C14" s="6" t="s">
        <v>27</v>
      </c>
      <c r="D14" s="6" t="s">
        <v>32</v>
      </c>
      <c r="E14" s="5">
        <v>0.13819444444444445</v>
      </c>
    </row>
    <row r="15" spans="1:5">
      <c r="A15">
        <v>14</v>
      </c>
      <c r="B15" s="6" t="s">
        <v>33</v>
      </c>
      <c r="C15" s="6" t="s">
        <v>36</v>
      </c>
      <c r="D15" s="6" t="s">
        <v>10</v>
      </c>
      <c r="E15" s="5">
        <v>0.13472222222222222</v>
      </c>
    </row>
    <row r="16" spans="1:5">
      <c r="A16">
        <v>15</v>
      </c>
      <c r="B16" s="6" t="s">
        <v>34</v>
      </c>
      <c r="C16" s="6" t="s">
        <v>9</v>
      </c>
      <c r="D16" s="6" t="s">
        <v>10</v>
      </c>
      <c r="E16" s="5">
        <v>0.16666666666666666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E28C0-56D2-45F0-9106-D51906E52FD4}">
  <dimension ref="E2:E16"/>
  <sheetViews>
    <sheetView workbookViewId="0"/>
  </sheetViews>
  <sheetFormatPr defaultRowHeight="19.5"/>
  <cols>
    <col min="1" max="1" width="11" bestFit="1" customWidth="1"/>
    <col min="2" max="2" width="20.88671875" bestFit="1" customWidth="1"/>
    <col min="3" max="3" width="66.77734375" bestFit="1" customWidth="1"/>
    <col min="4" max="4" width="12.66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871-CB93-4EE6-ABFD-2A3F3EBC1B3A}">
  <dimension ref="E2:E1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5546875" bestFit="1" customWidth="1"/>
    <col min="3" max="3" width="80.88671875" bestFit="1" customWidth="1"/>
    <col min="4" max="4" width="23.1093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0278D-A4A0-44D4-BF33-AF0BAF22AFED}">
  <dimension ref="E2:E11"/>
  <sheetViews>
    <sheetView workbookViewId="0"/>
  </sheetViews>
  <sheetFormatPr defaultRowHeight="19.5"/>
  <cols>
    <col min="1" max="1" width="10.77734375" bestFit="1" customWidth="1"/>
    <col min="2" max="2" width="15.77734375" bestFit="1" customWidth="1"/>
    <col min="3" max="3" width="39.77734375" bestFit="1" customWidth="1"/>
    <col min="4" max="4" width="43.8867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D23A-6AA9-4C55-82F7-89C9B671BF6C}">
  <dimension ref="E2:E15"/>
  <sheetViews>
    <sheetView workbookViewId="0"/>
  </sheetViews>
  <sheetFormatPr defaultRowHeight="19.5"/>
  <cols>
    <col min="1" max="1" width="10.77734375" bestFit="1" customWidth="1"/>
    <col min="2" max="2" width="14.33203125" bestFit="1" customWidth="1"/>
    <col min="3" max="3" width="80.77734375" bestFit="1" customWidth="1"/>
    <col min="4" max="4" width="36.4414062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B845-BA7F-409B-A442-6316F1256FE7}">
  <dimension ref="E2:E12"/>
  <sheetViews>
    <sheetView workbookViewId="0"/>
  </sheetViews>
  <sheetFormatPr defaultRowHeight="19.5"/>
  <cols>
    <col min="1" max="1" width="10.77734375" bestFit="1" customWidth="1"/>
    <col min="2" max="2" width="19.44140625" bestFit="1" customWidth="1"/>
    <col min="3" max="3" width="80.77734375" bestFit="1" customWidth="1"/>
    <col min="4" max="4" width="37.77734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EA0D-F84C-4DF9-BB18-C5BB3E937DDC}">
  <dimension ref="E2:E19"/>
  <sheetViews>
    <sheetView workbookViewId="0">
      <selection sqref="A1:XFD1048576"/>
    </sheetView>
  </sheetViews>
  <sheetFormatPr defaultRowHeight="19.5"/>
  <cols>
    <col min="1" max="1" width="10.77734375" bestFit="1" customWidth="1"/>
    <col min="2" max="2" width="19.21875" bestFit="1" customWidth="1"/>
    <col min="3" max="3" width="80.77734375" bestFit="1" customWidth="1"/>
    <col min="4" max="4" width="34.2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Sheet1</vt:lpstr>
      <vt:lpstr>Sheet2</vt:lpstr>
      <vt:lpstr>テーブル 5 (23)</vt:lpstr>
      <vt:lpstr>テーブル 5 (21)</vt:lpstr>
      <vt:lpstr>テーブル 5 (19)</vt:lpstr>
      <vt:lpstr>テーブル 5 (17)</vt:lpstr>
      <vt:lpstr>テーブル 5 (15)</vt:lpstr>
      <vt:lpstr>テーブル 5 (13)</vt:lpstr>
      <vt:lpstr>テーブル 5 (11)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2024-12-13T11:30:18Z</dcterms:modified>
</cp:coreProperties>
</file>