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atsby_v5\"/>
    </mc:Choice>
  </mc:AlternateContent>
  <xr:revisionPtr revIDLastSave="0" documentId="13_ncr:1_{7F19C2DB-FCEE-4DD7-94AC-8F3DD8BCB4D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1" r:id="rId1"/>
    <sheet name="Sheet2" sheetId="2" r:id="rId2"/>
    <sheet name="テーブル 5 (79)" sheetId="79" r:id="rId3"/>
    <sheet name="テーブル 5 (77)" sheetId="78" r:id="rId4"/>
    <sheet name="テーブル 5 (75)" sheetId="77" r:id="rId5"/>
    <sheet name="テーブル 5 (67)" sheetId="73" r:id="rId6"/>
  </sheets>
  <definedNames>
    <definedName name="ExternalData_1" localSheetId="0" hidden="1">Sheet1!$A$1:$E$25</definedName>
    <definedName name="ExternalData_1" localSheetId="2" hidden="1">'テーブル 5 (79)'!$A$1:$E$25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4" i="2" l="1"/>
  <c r="B34" i="2"/>
  <c r="J33" i="2"/>
  <c r="B33" i="2"/>
  <c r="J32" i="2"/>
  <c r="B32" i="2"/>
  <c r="J31" i="2"/>
  <c r="B31" i="2"/>
  <c r="J30" i="2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F34" i="2" l="1"/>
  <c r="F31" i="2"/>
  <c r="F33" i="2"/>
  <c r="F32" i="2"/>
  <c r="D32" i="2"/>
  <c r="D34" i="2"/>
  <c r="D31" i="2"/>
  <c r="D33" i="2"/>
  <c r="H34" i="2"/>
  <c r="H31" i="2"/>
  <c r="H33" i="2"/>
  <c r="H32" i="2"/>
  <c r="H24" i="2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26F84E0A-2BC1-4657-927E-D1C020CF38C5}" keepAlive="1" name="クエリ - テーブル 5 (10)" description="ブック内の 'テーブル 5 (10)' クエリへの接続です。" type="5" refreshedVersion="8" background="1" saveData="1">
    <dbPr connection="Provider=Microsoft.Mashup.OleDb.1;Data Source=$Workbook$;Location=&quot;テーブル 5 (10)&quot;;Extended Properties=&quot;&quot;" command="SELECT * FROM [テーブル 5 (10)]"/>
  </connection>
  <connection id="81" xr16:uid="{5ABDF216-6D52-4542-A11F-70448CE407E0}" keepAlive="1" name="クエリ - テーブル 5 (11)" description="ブック内の 'テーブル 5 (11)' クエリへの接続です。" type="5" refreshedVersion="0" background="1">
    <dbPr connection="Provider=Microsoft.Mashup.OleDb.1;Data Source=$Workbook$;Location=&quot;テーブル 5 (11)&quot;;Extended Properties=&quot;&quot;" command="SELECT * FROM [テーブル 5 (11)]"/>
  </connection>
  <connection id="82" xr16:uid="{56DF7559-F31D-45FE-AC4A-A282EF63CCC2}" keepAlive="1" name="クエリ - テーブル 5 (12)" description="ブック内の 'テーブル 5 (12)' クエリへの接続です。" type="5" refreshedVersion="8" background="1" saveData="1">
    <dbPr connection="Provider=Microsoft.Mashup.OleDb.1;Data Source=$Workbook$;Location=&quot;テーブル 5 (12)&quot;;Extended Properties=&quot;&quot;" command="SELECT * FROM [テーブル 5 (12)]"/>
  </connection>
  <connection id="83" xr16:uid="{AFB6CB50-54F7-4C28-ABE3-DDC509A650DB}" keepAlive="1" name="クエリ - テーブル 5 (13)" description="ブック内の 'テーブル 5 (13)' クエリへの接続です。" type="5" refreshedVersion="8" background="1" saveData="1">
    <dbPr connection="Provider=Microsoft.Mashup.OleDb.1;Data Source=$Workbook$;Location=&quot;テーブル 5 (13)&quot;;Extended Properties=&quot;&quot;" command="SELECT * FROM [テーブル 5 (13)]"/>
  </connection>
  <connection id="84" xr16:uid="{9ABB352C-0CCD-4E59-B88E-02E96DE307EE}" keepAlive="1" name="クエリ - テーブル 5 (14)" description="ブック内の 'テーブル 5 (14)' クエリへの接続です。" type="5" refreshedVersion="8" background="1" saveData="1">
    <dbPr connection="Provider=Microsoft.Mashup.OleDb.1;Data Source=$Workbook$;Location=&quot;テーブル 5 (14)&quot;;Extended Properties=&quot;&quot;" command="SELECT * FROM [テーブル 5 (14)]"/>
  </connection>
  <connection id="85" xr16:uid="{9CC89927-069A-4C2A-ADC9-326F77EB1429}" keepAlive="1" name="クエリ - テーブル 5 (15)" description="ブック内の 'テーブル 5 (15)' クエリへの接続です。" type="5" refreshedVersion="0" background="1">
    <dbPr connection="Provider=Microsoft.Mashup.OleDb.1;Data Source=$Workbook$;Location=&quot;テーブル 5 (15)&quot;;Extended Properties=&quot;&quot;" command="SELECT * FROM [テーブル 5 (15)]"/>
  </connection>
  <connection id="86" xr16:uid="{93E48093-F915-4882-BAC3-C964F603F1C7}" keepAlive="1" name="クエリ - テーブル 5 (16)" description="ブック内の 'テーブル 5 (16)' クエリへの接続です。" type="5" refreshedVersion="8" background="1" saveData="1">
    <dbPr connection="Provider=Microsoft.Mashup.OleDb.1;Data Source=$Workbook$;Location=&quot;テーブル 5 (16)&quot;;Extended Properties=&quot;&quot;" command="SELECT * FROM [テーブル 5 (16)]"/>
  </connection>
  <connection id="87" xr16:uid="{B31EBC3B-614B-4885-A0E6-3E57C6664771}" keepAlive="1" name="クエリ - テーブル 5 (17)" description="ブック内の 'テーブル 5 (17)' クエリへの接続です。" type="5" refreshedVersion="8" background="1" saveData="1">
    <dbPr connection="Provider=Microsoft.Mashup.OleDb.1;Data Source=$Workbook$;Location=&quot;テーブル 5 (17)&quot;;Extended Properties=&quot;&quot;" command="SELECT * FROM [テーブル 5 (17)]"/>
  </connection>
  <connection id="88" xr16:uid="{7960DE4F-875B-408F-993F-40DB66B61398}" keepAlive="1" name="クエリ - テーブル 5 (18)" description="ブック内の 'テーブル 5 (18)' クエリへの接続です。" type="5" refreshedVersion="8" background="1" saveData="1">
    <dbPr connection="Provider=Microsoft.Mashup.OleDb.1;Data Source=$Workbook$;Location=&quot;テーブル 5 (18)&quot;;Extended Properties=&quot;&quot;" command="SELECT * FROM [テーブル 5 (18)]"/>
  </connection>
  <connection id="89" xr16:uid="{C8E55768-5433-4125-ADA9-8535EF84ECED}" keepAlive="1" name="クエリ - テーブル 5 (19)" description="ブック内の 'テーブル 5 (19)' クエリへの接続です。" type="5" refreshedVersion="0" background="1">
    <dbPr connection="Provider=Microsoft.Mashup.OleDb.1;Data Source=$Workbook$;Location=&quot;テーブル 5 (19)&quot;;Extended Properties=&quot;&quot;" command="SELECT * FROM [テーブル 5 (19)]"/>
  </connection>
  <connection id="90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91" xr16:uid="{79F63E29-B41C-4785-B5C8-39BE2C61A022}" keepAlive="1" name="クエリ - テーブル 5 (20)" description="ブック内の 'テーブル 5 (20)' クエリへの接続です。" type="5" refreshedVersion="8" background="1" saveData="1">
    <dbPr connection="Provider=Microsoft.Mashup.OleDb.1;Data Source=$Workbook$;Location=&quot;テーブル 5 (20)&quot;;Extended Properties=&quot;&quot;" command="SELECT * FROM [テーブル 5 (20)]"/>
  </connection>
  <connection id="92" xr16:uid="{C5F0CE8E-5236-4C12-9938-A5A579A166BD}" keepAlive="1" name="クエリ - テーブル 5 (21)" description="ブック内の 'テーブル 5 (21)' クエリへの接続です。" type="5" refreshedVersion="8" background="1" saveData="1">
    <dbPr connection="Provider=Microsoft.Mashup.OleDb.1;Data Source=$Workbook$;Location=&quot;テーブル 5 (21)&quot;;Extended Properties=&quot;&quot;" command="SELECT * FROM [テーブル 5 (21)]"/>
  </connection>
  <connection id="93" xr16:uid="{A0703D91-F949-43E0-AAEB-CCBE3165516D}" keepAlive="1" name="クエリ - テーブル 5 (22)" description="ブック内の 'テーブル 5 (22)' クエリへの接続です。" type="5" refreshedVersion="8" background="1" saveData="1">
    <dbPr connection="Provider=Microsoft.Mashup.OleDb.1;Data Source=$Workbook$;Location=&quot;テーブル 5 (22)&quot;;Extended Properties=&quot;&quot;" command="SELECT * FROM [テーブル 5 (22)]"/>
  </connection>
  <connection id="94" xr16:uid="{46CD58C3-08F0-4E49-AA61-AB7949C5757F}" keepAlive="1" name="クエリ - テーブル 5 (23)" description="ブック内の 'テーブル 5 (23)' クエリへの接続です。" type="5" refreshedVersion="8" background="1" saveData="1">
    <dbPr connection="Provider=Microsoft.Mashup.OleDb.1;Data Source=$Workbook$;Location=&quot;テーブル 5 (23)&quot;;Extended Properties=&quot;&quot;" command="SELECT * FROM [テーブル 5 (23)]"/>
  </connection>
  <connection id="95" xr16:uid="{6FDBFA2F-ADFC-440E-976E-EB765D94B592}" keepAlive="1" name="クエリ - テーブル 5 (24)" description="ブック内の 'テーブル 5 (24)' クエリへの接続です。" type="5" refreshedVersion="8" background="1" saveData="1">
    <dbPr connection="Provider=Microsoft.Mashup.OleDb.1;Data Source=$Workbook$;Location=&quot;テーブル 5 (24)&quot;;Extended Properties=&quot;&quot;" command="SELECT * FROM [テーブル 5 (24)]"/>
  </connection>
  <connection id="96" xr16:uid="{D94BC252-1638-42E3-A1D3-7C4861AFC728}" keepAlive="1" name="クエリ - テーブル 5 (25)" description="ブック内の 'テーブル 5 (25)' クエリへの接続です。" type="5" refreshedVersion="8" background="1" saveData="1">
    <dbPr connection="Provider=Microsoft.Mashup.OleDb.1;Data Source=$Workbook$;Location=&quot;テーブル 5 (25)&quot;;Extended Properties=&quot;&quot;" command="SELECT * FROM [テーブル 5 (25)]"/>
  </connection>
  <connection id="97" xr16:uid="{13639DD2-86CB-4DA2-8DB0-7B58FC1A2F22}" keepAlive="1" name="クエリ - テーブル 5 (26)" description="ブック内の 'テーブル 5 (26)' クエリへの接続です。" type="5" refreshedVersion="8" background="1" saveData="1">
    <dbPr connection="Provider=Microsoft.Mashup.OleDb.1;Data Source=$Workbook$;Location=&quot;テーブル 5 (26)&quot;;Extended Properties=&quot;&quot;" command="SELECT * FROM [テーブル 5 (26)]"/>
  </connection>
  <connection id="98" xr16:uid="{1203CF8E-8C42-432E-BFC6-53B97B3F0E37}" keepAlive="1" name="クエリ - テーブル 5 (27)" description="ブック内の 'テーブル 5 (27)' クエリへの接続です。" type="5" refreshedVersion="8" background="1" saveData="1">
    <dbPr connection="Provider=Microsoft.Mashup.OleDb.1;Data Source=$Workbook$;Location=&quot;テーブル 5 (27)&quot;;Extended Properties=&quot;&quot;" command="SELECT * FROM [テーブル 5 (27)]"/>
  </connection>
  <connection id="99" xr16:uid="{A16F3CEE-F1A8-48A9-A95E-0B697CBC8247}" keepAlive="1" name="クエリ - テーブル 5 (28)" description="ブック内の 'テーブル 5 (28)' クエリへの接続です。" type="5" refreshedVersion="8" background="1" saveData="1">
    <dbPr connection="Provider=Microsoft.Mashup.OleDb.1;Data Source=$Workbook$;Location=&quot;テーブル 5 (28)&quot;;Extended Properties=&quot;&quot;" command="SELECT * FROM [テーブル 5 (28)]"/>
  </connection>
  <connection id="100" xr16:uid="{B910D808-16D2-4ADB-A270-37C34675767A}" keepAlive="1" name="クエリ - テーブル 5 (29)" description="ブック内の 'テーブル 5 (29)' クエリへの接続です。" type="5" refreshedVersion="8" background="1" saveData="1">
    <dbPr connection="Provider=Microsoft.Mashup.OleDb.1;Data Source=$Workbook$;Location=&quot;テーブル 5 (29)&quot;;Extended Properties=&quot;&quot;" command="SELECT * FROM [テーブル 5 (29)]"/>
  </connection>
  <connection id="101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102" xr16:uid="{36BEAD91-F848-4936-AB7D-D6A481BC8093}" keepAlive="1" name="クエリ - テーブル 5 (30)" description="ブック内の 'テーブル 5 (30)' クエリへの接続です。" type="5" refreshedVersion="8" background="1" saveData="1">
    <dbPr connection="Provider=Microsoft.Mashup.OleDb.1;Data Source=$Workbook$;Location=&quot;テーブル 5 (30)&quot;;Extended Properties=&quot;&quot;" command="SELECT * FROM [テーブル 5 (30)]"/>
  </connection>
  <connection id="103" xr16:uid="{74028095-084D-406A-9D5E-39FC61FBC8F0}" keepAlive="1" name="クエリ - テーブル 5 (31)" description="ブック内の 'テーブル 5 (31)' クエリへの接続です。" type="5" refreshedVersion="8" background="1" saveData="1">
    <dbPr connection="Provider=Microsoft.Mashup.OleDb.1;Data Source=$Workbook$;Location=&quot;テーブル 5 (31)&quot;;Extended Properties=&quot;&quot;" command="SELECT * FROM [テーブル 5 (31)]"/>
  </connection>
  <connection id="104" xr16:uid="{BAEA1A37-99AF-4469-B30B-45FBFFC0CC86}" keepAlive="1" name="クエリ - テーブル 5 (32)" description="ブック内の 'テーブル 5 (32)' クエリへの接続です。" type="5" refreshedVersion="8" background="1" saveData="1">
    <dbPr connection="Provider=Microsoft.Mashup.OleDb.1;Data Source=$Workbook$;Location=&quot;テーブル 5 (32)&quot;;Extended Properties=&quot;&quot;" command="SELECT * FROM [テーブル 5 (32)]"/>
  </connection>
  <connection id="105" xr16:uid="{7CCE002F-9BAA-44CB-994B-57B846DA9E21}" keepAlive="1" name="クエリ - テーブル 5 (33)" description="ブック内の 'テーブル 5 (33)' クエリへの接続です。" type="5" refreshedVersion="8" background="1" saveData="1">
    <dbPr connection="Provider=Microsoft.Mashup.OleDb.1;Data Source=$Workbook$;Location=&quot;テーブル 5 (33)&quot;;Extended Properties=&quot;&quot;" command="SELECT * FROM [テーブル 5 (33)]"/>
  </connection>
  <connection id="106" xr16:uid="{6544EA70-0EDD-438B-86F8-77B08B50DE06}" keepAlive="1" name="クエリ - テーブル 5 (34)" description="ブック内の 'テーブル 5 (34)' クエリへの接続です。" type="5" refreshedVersion="8" background="1" saveData="1">
    <dbPr connection="Provider=Microsoft.Mashup.OleDb.1;Data Source=$Workbook$;Location=&quot;テーブル 5 (34)&quot;;Extended Properties=&quot;&quot;" command="SELECT * FROM [テーブル 5 (34)]"/>
  </connection>
  <connection id="107" xr16:uid="{F2FCEC10-3FD7-4126-A895-B61E1FEBB0BB}" keepAlive="1" name="クエリ - テーブル 5 (35)" description="ブック内の 'テーブル 5 (35)' クエリへの接続です。" type="5" refreshedVersion="8" background="1" saveData="1">
    <dbPr connection="Provider=Microsoft.Mashup.OleDb.1;Data Source=$Workbook$;Location=&quot;テーブル 5 (35)&quot;;Extended Properties=&quot;&quot;" command="SELECT * FROM [テーブル 5 (35)]"/>
  </connection>
  <connection id="108" xr16:uid="{7EA25496-C4A6-444D-B133-112FF16EF028}" keepAlive="1" name="クエリ - テーブル 5 (36)" description="ブック内の 'テーブル 5 (36)' クエリへの接続です。" type="5" refreshedVersion="8" background="1" saveData="1">
    <dbPr connection="Provider=Microsoft.Mashup.OleDb.1;Data Source=$Workbook$;Location=&quot;テーブル 5 (36)&quot;;Extended Properties=&quot;&quot;" command="SELECT * FROM [テーブル 5 (36)]"/>
  </connection>
  <connection id="109" xr16:uid="{A31F22B0-CB8E-4530-A9F1-CCB2EE200259}" keepAlive="1" name="クエリ - テーブル 5 (37)" description="ブック内の 'テーブル 5 (37)' クエリへの接続です。" type="5" refreshedVersion="8" background="1" saveData="1">
    <dbPr connection="Provider=Microsoft.Mashup.OleDb.1;Data Source=$Workbook$;Location=&quot;テーブル 5 (37)&quot;;Extended Properties=&quot;&quot;" command="SELECT * FROM [テーブル 5 (37)]"/>
  </connection>
  <connection id="110" xr16:uid="{A5E57733-B48A-4985-B31C-9B6BBF618E08}" keepAlive="1" name="クエリ - テーブル 5 (38)" description="ブック内の 'テーブル 5 (38)' クエリへの接続です。" type="5" refreshedVersion="8" background="1" saveData="1">
    <dbPr connection="Provider=Microsoft.Mashup.OleDb.1;Data Source=$Workbook$;Location=&quot;テーブル 5 (38)&quot;;Extended Properties=&quot;&quot;" command="SELECT * FROM [テーブル 5 (38)]"/>
  </connection>
  <connection id="111" xr16:uid="{54F7DB3E-2D10-46A8-8605-A4B5CD9147C4}" keepAlive="1" name="クエリ - テーブル 5 (39)" description="ブック内の 'テーブル 5 (39)' クエリへの接続です。" type="5" refreshedVersion="8" background="1" saveData="1">
    <dbPr connection="Provider=Microsoft.Mashup.OleDb.1;Data Source=$Workbook$;Location=&quot;テーブル 5 (39)&quot;;Extended Properties=&quot;&quot;" command="SELECT * FROM [テーブル 5 (39)]"/>
  </connection>
  <connection id="112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113" xr16:uid="{66B53B4B-1358-4775-94DB-3F8C8717C271}" keepAlive="1" name="クエリ - テーブル 5 (40)" description="ブック内の 'テーブル 5 (40)' クエリへの接続です。" type="5" refreshedVersion="8" background="1" saveData="1">
    <dbPr connection="Provider=Microsoft.Mashup.OleDb.1;Data Source=$Workbook$;Location=&quot;テーブル 5 (40)&quot;;Extended Properties=&quot;&quot;" command="SELECT * FROM [テーブル 5 (40)]"/>
  </connection>
  <connection id="114" xr16:uid="{FE8A8A31-47AF-45A0-8FCC-B8275FB8CD7A}" keepAlive="1" name="クエリ - テーブル 5 (41)" description="ブック内の 'テーブル 5 (41)' クエリへの接続です。" type="5" refreshedVersion="8" background="1" saveData="1">
    <dbPr connection="Provider=Microsoft.Mashup.OleDb.1;Data Source=$Workbook$;Location=&quot;テーブル 5 (41)&quot;;Extended Properties=&quot;&quot;" command="SELECT * FROM [テーブル 5 (41)]"/>
  </connection>
  <connection id="115" xr16:uid="{579514D7-861A-4725-94F9-BF6706ACBB0F}" keepAlive="1" name="クエリ - テーブル 5 (42)" description="ブック内の 'テーブル 5 (42)' クエリへの接続です。" type="5" refreshedVersion="8" background="1" saveData="1">
    <dbPr connection="Provider=Microsoft.Mashup.OleDb.1;Data Source=$Workbook$;Location=&quot;テーブル 5 (42)&quot;;Extended Properties=&quot;&quot;" command="SELECT * FROM [テーブル 5 (42)]"/>
  </connection>
  <connection id="116" xr16:uid="{80502BDE-E486-474D-BEE2-A2BC8D82A4E5}" keepAlive="1" name="クエリ - テーブル 5 (43)" description="ブック内の 'テーブル 5 (43)' クエリへの接続です。" type="5" refreshedVersion="8" background="1" saveData="1">
    <dbPr connection="Provider=Microsoft.Mashup.OleDb.1;Data Source=$Workbook$;Location=&quot;テーブル 5 (43)&quot;;Extended Properties=&quot;&quot;" command="SELECT * FROM [テーブル 5 (43)]"/>
  </connection>
  <connection id="117" xr16:uid="{615EFAC7-08F8-41A8-9E2C-4F8FD8C0B0AF}" keepAlive="1" name="クエリ - テーブル 5 (44)" description="ブック内の 'テーブル 5 (44)' クエリへの接続です。" type="5" refreshedVersion="8" background="1" saveData="1">
    <dbPr connection="Provider=Microsoft.Mashup.OleDb.1;Data Source=$Workbook$;Location=&quot;テーブル 5 (44)&quot;;Extended Properties=&quot;&quot;" command="SELECT * FROM [テーブル 5 (44)]"/>
  </connection>
  <connection id="118" xr16:uid="{C305C6DD-5798-4EBD-ADC8-19F8BBA3606D}" keepAlive="1" name="クエリ - テーブル 5 (45)" description="ブック内の 'テーブル 5 (45)' クエリへの接続です。" type="5" refreshedVersion="8" background="1" saveData="1">
    <dbPr connection="Provider=Microsoft.Mashup.OleDb.1;Data Source=$Workbook$;Location=&quot;テーブル 5 (45)&quot;;Extended Properties=&quot;&quot;" command="SELECT * FROM [テーブル 5 (45)]"/>
  </connection>
  <connection id="119" xr16:uid="{3EA631AC-DB01-4DE1-B8E4-8686CE119F6A}" keepAlive="1" name="クエリ - テーブル 5 (46)" description="ブック内の 'テーブル 5 (46)' クエリへの接続です。" type="5" refreshedVersion="8" background="1" saveData="1">
    <dbPr connection="Provider=Microsoft.Mashup.OleDb.1;Data Source=$Workbook$;Location=&quot;テーブル 5 (46)&quot;;Extended Properties=&quot;&quot;" command="SELECT * FROM [テーブル 5 (46)]"/>
  </connection>
  <connection id="120" xr16:uid="{403A85BB-91A5-4963-86C4-BBAB4A28E850}" keepAlive="1" name="クエリ - テーブル 5 (47)" description="ブック内の 'テーブル 5 (47)' クエリへの接続です。" type="5" refreshedVersion="0" background="1">
    <dbPr connection="Provider=Microsoft.Mashup.OleDb.1;Data Source=$Workbook$;Location=&quot;テーブル 5 (47)&quot;;Extended Properties=&quot;&quot;" command="SELECT * FROM [テーブル 5 (47)]"/>
  </connection>
  <connection id="121" xr16:uid="{660E220E-6A38-44EC-B3D0-DA719B2A5AF3}" keepAlive="1" name="クエリ - テーブル 5 (48)" description="ブック内の 'テーブル 5 (48)' クエリへの接続です。" type="5" refreshedVersion="8" background="1" saveData="1">
    <dbPr connection="Provider=Microsoft.Mashup.OleDb.1;Data Source=$Workbook$;Location=&quot;テーブル 5 (48)&quot;;Extended Properties=&quot;&quot;" command="SELECT * FROM [テーブル 5 (48)]"/>
  </connection>
  <connection id="122" xr16:uid="{50DE3435-8F9C-439D-931F-32CDFE206BCB}" keepAlive="1" name="クエリ - テーブル 5 (49)" description="ブック内の 'テーブル 5 (49)' クエリへの接続です。" type="5" refreshedVersion="8" background="1" saveData="1">
    <dbPr connection="Provider=Microsoft.Mashup.OleDb.1;Data Source=$Workbook$;Location=&quot;テーブル 5 (49)&quot;;Extended Properties=&quot;&quot;" command="SELECT * FROM [テーブル 5 (49)]"/>
  </connection>
  <connection id="123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124" xr16:uid="{51680A69-E4C1-4A39-85B7-EFEAFFC9466F}" keepAlive="1" name="クエリ - テーブル 5 (50)" description="ブック内の 'テーブル 5 (50)' クエリへの接続です。" type="5" refreshedVersion="8" background="1" saveData="1">
    <dbPr connection="Provider=Microsoft.Mashup.OleDb.1;Data Source=$Workbook$;Location=&quot;テーブル 5 (50)&quot;;Extended Properties=&quot;&quot;" command="SELECT * FROM [テーブル 5 (50)]"/>
  </connection>
  <connection id="125" xr16:uid="{1D050FEF-9BC3-400B-ABE4-5025A2E1FD88}" keepAlive="1" name="クエリ - テーブル 5 (51)" description="ブック内の 'テーブル 5 (51)' クエリへの接続です。" type="5" refreshedVersion="0" background="1">
    <dbPr connection="Provider=Microsoft.Mashup.OleDb.1;Data Source=$Workbook$;Location=&quot;テーブル 5 (51)&quot;;Extended Properties=&quot;&quot;" command="SELECT * FROM [テーブル 5 (51)]"/>
  </connection>
  <connection id="126" xr16:uid="{04E1DE2C-0F8B-4AA2-B40B-1A5D370B5011}" keepAlive="1" name="クエリ - テーブル 5 (52)" description="ブック内の 'テーブル 5 (52)' クエリへの接続です。" type="5" refreshedVersion="8" background="1" saveData="1">
    <dbPr connection="Provider=Microsoft.Mashup.OleDb.1;Data Source=$Workbook$;Location=&quot;テーブル 5 (52)&quot;;Extended Properties=&quot;&quot;" command="SELECT * FROM [テーブル 5 (52)]"/>
  </connection>
  <connection id="127" xr16:uid="{7A11FE41-E253-43BC-8A00-1C400CA377D1}" keepAlive="1" name="クエリ - テーブル 5 (53)" description="ブック内の 'テーブル 5 (53)' クエリへの接続です。" type="5" refreshedVersion="8" background="1" saveData="1">
    <dbPr connection="Provider=Microsoft.Mashup.OleDb.1;Data Source=$Workbook$;Location=&quot;テーブル 5 (53)&quot;;Extended Properties=&quot;&quot;" command="SELECT * FROM [テーブル 5 (53)]"/>
  </connection>
  <connection id="128" xr16:uid="{5EC92980-5492-4A89-A4A8-9801BC14492C}" keepAlive="1" name="クエリ - テーブル 5 (54)" description="ブック内の 'テーブル 5 (54)' クエリへの接続です。" type="5" refreshedVersion="8" background="1" saveData="1">
    <dbPr connection="Provider=Microsoft.Mashup.OleDb.1;Data Source=$Workbook$;Location=&quot;テーブル 5 (54)&quot;;Extended Properties=&quot;&quot;" command="SELECT * FROM [テーブル 5 (54)]"/>
  </connection>
  <connection id="129" xr16:uid="{4D402CCC-83C9-406F-8C34-4F775E1168DA}" keepAlive="1" name="クエリ - テーブル 5 (55)" description="ブック内の 'テーブル 5 (55)' クエリへの接続です。" type="5" refreshedVersion="8" background="1" saveData="1">
    <dbPr connection="Provider=Microsoft.Mashup.OleDb.1;Data Source=$Workbook$;Location=&quot;テーブル 5 (55)&quot;;Extended Properties=&quot;&quot;" command="SELECT * FROM [テーブル 5 (55)]"/>
  </connection>
  <connection id="130" xr16:uid="{A783859C-FF36-4DD0-8551-D4BB737E4F61}" keepAlive="1" name="クエリ - テーブル 5 (56)" description="ブック内の 'テーブル 5 (56)' クエリへの接続です。" type="5" refreshedVersion="8" background="1" saveData="1">
    <dbPr connection="Provider=Microsoft.Mashup.OleDb.1;Data Source=$Workbook$;Location=&quot;テーブル 5 (56)&quot;;Extended Properties=&quot;&quot;" command="SELECT * FROM [テーブル 5 (56)]"/>
  </connection>
  <connection id="131" xr16:uid="{15E76B00-9305-4741-A2AB-01B6330EAAF2}" keepAlive="1" name="クエリ - テーブル 5 (57)" description="ブック内の 'テーブル 5 (57)' クエリへの接続です。" type="5" refreshedVersion="8" background="1" saveData="1">
    <dbPr connection="Provider=Microsoft.Mashup.OleDb.1;Data Source=$Workbook$;Location=&quot;テーブル 5 (57)&quot;;Extended Properties=&quot;&quot;" command="SELECT * FROM [テーブル 5 (57)]"/>
  </connection>
  <connection id="132" xr16:uid="{F34C8D89-6520-4A3D-9DCC-92CF29A2D2A6}" keepAlive="1" name="クエリ - テーブル 5 (58)" description="ブック内の 'テーブル 5 (58)' クエリへの接続です。" type="5" refreshedVersion="8" background="1" saveData="1">
    <dbPr connection="Provider=Microsoft.Mashup.OleDb.1;Data Source=$Workbook$;Location=&quot;テーブル 5 (58)&quot;;Extended Properties=&quot;&quot;" command="SELECT * FROM [テーブル 5 (58)]"/>
  </connection>
  <connection id="133" xr16:uid="{8E94A45C-00CE-41E1-BC77-0B7DBAC9B2C2}" keepAlive="1" name="クエリ - テーブル 5 (59)" description="ブック内の 'テーブル 5 (59)' クエリへの接続です。" type="5" refreshedVersion="8" background="1" saveData="1">
    <dbPr connection="Provider=Microsoft.Mashup.OleDb.1;Data Source=$Workbook$;Location=&quot;テーブル 5 (59)&quot;;Extended Properties=&quot;&quot;" command="SELECT * FROM [テーブル 5 (59)]"/>
  </connection>
  <connection id="134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  <connection id="135" xr16:uid="{11199990-A322-46C2-A519-29F73E80E0EE}" keepAlive="1" name="クエリ - テーブル 5 (60)" description="ブック内の 'テーブル 5 (60)' クエリへの接続です。" type="5" refreshedVersion="8" background="1" saveData="1">
    <dbPr connection="Provider=Microsoft.Mashup.OleDb.1;Data Source=$Workbook$;Location=&quot;テーブル 5 (60)&quot;;Extended Properties=&quot;&quot;" command="SELECT * FROM [テーブル 5 (60)]"/>
  </connection>
  <connection id="136" xr16:uid="{F402F748-2349-414B-802D-7FDF17E1BFFA}" keepAlive="1" name="クエリ - テーブル 5 (61)" description="ブック内の 'テーブル 5 (61)' クエリへの接続です。" type="5" refreshedVersion="8" background="1" saveData="1">
    <dbPr connection="Provider=Microsoft.Mashup.OleDb.1;Data Source=$Workbook$;Location=&quot;テーブル 5 (61)&quot;;Extended Properties=&quot;&quot;" command="SELECT * FROM [テーブル 5 (61)]"/>
  </connection>
  <connection id="137" xr16:uid="{D0DF5541-C189-427F-987F-D492C0D8AF07}" keepAlive="1" name="クエリ - テーブル 5 (62)" description="ブック内の 'テーブル 5 (62)' クエリへの接続です。" type="5" refreshedVersion="8" background="1" saveData="1">
    <dbPr connection="Provider=Microsoft.Mashup.OleDb.1;Data Source=$Workbook$;Location=&quot;テーブル 5 (62)&quot;;Extended Properties=&quot;&quot;" command="SELECT * FROM [テーブル 5 (62)]"/>
  </connection>
  <connection id="138" xr16:uid="{A9B568BA-7ED4-48D7-ACAB-4C93F8584743}" keepAlive="1" name="クエリ - テーブル 5 (63)" description="ブック内の 'テーブル 5 (63)' クエリへの接続です。" type="5" refreshedVersion="0" background="1">
    <dbPr connection="Provider=Microsoft.Mashup.OleDb.1;Data Source=$Workbook$;Location=&quot;テーブル 5 (63)&quot;;Extended Properties=&quot;&quot;" command="SELECT * FROM [テーブル 5 (63)]"/>
  </connection>
  <connection id="139" xr16:uid="{E8806155-1A53-4387-9215-A077F81B3EA8}" keepAlive="1" name="クエリ - テーブル 5 (64)" description="ブック内の 'テーブル 5 (64)' クエリへの接続です。" type="5" refreshedVersion="8" background="1" saveData="1">
    <dbPr connection="Provider=Microsoft.Mashup.OleDb.1;Data Source=$Workbook$;Location=&quot;テーブル 5 (64)&quot;;Extended Properties=&quot;&quot;" command="SELECT * FROM [テーブル 5 (64)]"/>
  </connection>
  <connection id="140" xr16:uid="{EA53A195-970D-4B24-98FF-F989BAE95881}" keepAlive="1" name="クエリ - テーブル 5 (65)" description="ブック内の 'テーブル 5 (65)' クエリへの接続です。" type="5" refreshedVersion="8" background="1" saveData="1">
    <dbPr connection="Provider=Microsoft.Mashup.OleDb.1;Data Source=$Workbook$;Location=&quot;テーブル 5 (65)&quot;;Extended Properties=&quot;&quot;" command="SELECT * FROM [テーブル 5 (65)]"/>
  </connection>
  <connection id="141" xr16:uid="{B026A762-CDB7-445F-9538-62399460FAE7}" keepAlive="1" name="クエリ - テーブル 5 (66)" description="ブック内の 'テーブル 5 (66)' クエリへの接続です。" type="5" refreshedVersion="8" background="1" saveData="1">
    <dbPr connection="Provider=Microsoft.Mashup.OleDb.1;Data Source=$Workbook$;Location=&quot;テーブル 5 (66)&quot;;Extended Properties=&quot;&quot;" command="SELECT * FROM [テーブル 5 (66)]"/>
  </connection>
  <connection id="142" xr16:uid="{CEC9A435-D0BF-4D3C-B7AE-60A8CB3B26D8}" keepAlive="1" name="クエリ - テーブル 5 (67)" description="ブック内の 'テーブル 5 (67)' クエリへの接続です。" type="5" refreshedVersion="8" background="1" saveData="1">
    <dbPr connection="Provider=Microsoft.Mashup.OleDb.1;Data Source=$Workbook$;Location=&quot;テーブル 5 (67)&quot;;Extended Properties=&quot;&quot;" command="SELECT * FROM [テーブル 5 (67)]"/>
  </connection>
  <connection id="143" xr16:uid="{1310CB73-5935-4ED4-92F0-969D9F6977F0}" keepAlive="1" name="クエリ - テーブル 5 (68)" description="ブック内の 'テーブル 5 (68)' クエリへの接続です。" type="5" refreshedVersion="8" background="1" saveData="1">
    <dbPr connection="Provider=Microsoft.Mashup.OleDb.1;Data Source=$Workbook$;Location=&quot;テーブル 5 (68)&quot;;Extended Properties=&quot;&quot;" command="SELECT * FROM [テーブル 5 (68)]"/>
  </connection>
  <connection id="144" xr16:uid="{67630F53-615F-47F6-8ACF-7DC5F8B7FED2}" keepAlive="1" name="クエリ - テーブル 5 (69)" description="ブック内の 'テーブル 5 (69)' クエリへの接続です。" type="5" refreshedVersion="8" background="1" saveData="1">
    <dbPr connection="Provider=Microsoft.Mashup.OleDb.1;Data Source=$Workbook$;Location=&quot;テーブル 5 (69)&quot;;Extended Properties=&quot;&quot;" command="SELECT * FROM [テーブル 5 (69)]"/>
  </connection>
  <connection id="145" xr16:uid="{00608C06-2B00-4F10-97AD-CDE3B794B7CB}" keepAlive="1" name="クエリ - テーブル 5 (7)" description="ブック内の 'テーブル 5 (7)' クエリへの接続です。" type="5" refreshedVersion="0" background="1">
    <dbPr connection="Provider=Microsoft.Mashup.OleDb.1;Data Source=$Workbook$;Location=&quot;テーブル 5 (7)&quot;;Extended Properties=&quot;&quot;" command="SELECT * FROM [テーブル 5 (7)]"/>
  </connection>
  <connection id="146" xr16:uid="{B1AF6235-A445-4E85-9851-1DC33458ECA3}" keepAlive="1" name="クエリ - テーブル 5 (70)" description="ブック内の 'テーブル 5 (70)' クエリへの接続です。" type="5" refreshedVersion="8" background="1" saveData="1">
    <dbPr connection="Provider=Microsoft.Mashup.OleDb.1;Data Source=$Workbook$;Location=&quot;テーブル 5 (70)&quot;;Extended Properties=&quot;&quot;" command="SELECT * FROM [テーブル 5 (70)]"/>
  </connection>
  <connection id="147" xr16:uid="{11083B9F-7A86-4C8D-8EA3-740D72E29A11}" keepAlive="1" name="クエリ - テーブル 5 (71)" description="ブック内の 'テーブル 5 (71)' クエリへの接続です。" type="5" refreshedVersion="0" background="1">
    <dbPr connection="Provider=Microsoft.Mashup.OleDb.1;Data Source=$Workbook$;Location=&quot;テーブル 5 (71)&quot;;Extended Properties=&quot;&quot;" command="SELECT * FROM [テーブル 5 (71)]"/>
  </connection>
  <connection id="148" xr16:uid="{4DB7AD5A-B418-47B8-9B01-035F877738C0}" keepAlive="1" name="クエリ - テーブル 5 (72)" description="ブック内の 'テーブル 5 (72)' クエリへの接続です。" type="5" refreshedVersion="8" background="1" saveData="1">
    <dbPr connection="Provider=Microsoft.Mashup.OleDb.1;Data Source=$Workbook$;Location=&quot;テーブル 5 (72)&quot;;Extended Properties=&quot;&quot;" command="SELECT * FROM [テーブル 5 (72)]"/>
  </connection>
  <connection id="149" xr16:uid="{9ABBB067-ADB3-4DC4-9351-030E8EA31DFE}" keepAlive="1" name="クエリ - テーブル 5 (73)" description="ブック内の 'テーブル 5 (73)' クエリへの接続です。" type="5" refreshedVersion="8" background="1" saveData="1">
    <dbPr connection="Provider=Microsoft.Mashup.OleDb.1;Data Source=$Workbook$;Location=&quot;テーブル 5 (73)&quot;;Extended Properties=&quot;&quot;" command="SELECT * FROM [テーブル 5 (73)]"/>
  </connection>
  <connection id="150" xr16:uid="{15E9F6A9-3AA5-4C0C-9881-C59BD0FD4DC1}" keepAlive="1" name="クエリ - テーブル 5 (74)" description="ブック内の 'テーブル 5 (74)' クエリへの接続です。" type="5" refreshedVersion="8" background="1" saveData="1">
    <dbPr connection="Provider=Microsoft.Mashup.OleDb.1;Data Source=$Workbook$;Location=&quot;テーブル 5 (74)&quot;;Extended Properties=&quot;&quot;" command="SELECT * FROM [テーブル 5 (74)]"/>
  </connection>
  <connection id="151" xr16:uid="{F0250E8D-4A68-4C6D-BEEE-6A79E5488BFD}" keepAlive="1" name="クエリ - テーブル 5 (75)" description="ブック内の 'テーブル 5 (75)' クエリへの接続です。" type="5" refreshedVersion="0" background="1">
    <dbPr connection="Provider=Microsoft.Mashup.OleDb.1;Data Source=$Workbook$;Location=&quot;テーブル 5 (75)&quot;;Extended Properties=&quot;&quot;" command="SELECT * FROM [テーブル 5 (75)]"/>
  </connection>
  <connection id="152" xr16:uid="{7603C545-7110-442E-A944-C950C2A962A6}" keepAlive="1" name="クエリ - テーブル 5 (76)" description="ブック内の 'テーブル 5 (76)' クエリへの接続です。" type="5" refreshedVersion="8" background="1" saveData="1">
    <dbPr connection="Provider=Microsoft.Mashup.OleDb.1;Data Source=$Workbook$;Location=&quot;テーブル 5 (76)&quot;;Extended Properties=&quot;&quot;" command="SELECT * FROM [テーブル 5 (76)]"/>
  </connection>
  <connection id="153" xr16:uid="{3F7CC578-1E46-42D8-ADCA-ACAA3B42ED93}" keepAlive="1" name="クエリ - テーブル 5 (77)" description="ブック内の 'テーブル 5 (77)' クエリへの接続です。" type="5" refreshedVersion="8" background="1" saveData="1">
    <dbPr connection="Provider=Microsoft.Mashup.OleDb.1;Data Source=$Workbook$;Location=&quot;テーブル 5 (77)&quot;;Extended Properties=&quot;&quot;" command="SELECT * FROM [テーブル 5 (77)]"/>
  </connection>
  <connection id="154" xr16:uid="{374AE247-1DB4-40CE-A720-AD2A5E2AA29C}" keepAlive="1" name="クエリ - テーブル 5 (78)" description="ブック内の 'テーブル 5 (78)' クエリへの接続です。" type="5" refreshedVersion="8" background="1" saveData="1">
    <dbPr connection="Provider=Microsoft.Mashup.OleDb.1;Data Source=$Workbook$;Location=&quot;テーブル 5 (78)&quot;;Extended Properties=&quot;&quot;" command="SELECT * FROM [テーブル 5 (78)]"/>
  </connection>
  <connection id="155" xr16:uid="{369560D6-2AB8-4192-87BF-D6A075B7A590}" keepAlive="1" name="クエリ - テーブル 5 (79)" description="ブック内の 'テーブル 5 (79)' クエリへの接続です。" type="5" refreshedVersion="8" background="1" saveData="1">
    <dbPr connection="Provider=Microsoft.Mashup.OleDb.1;Data Source=$Workbook$;Location=&quot;テーブル 5 (79)&quot;;Extended Properties=&quot;&quot;" command="SELECT * FROM [テーブル 5 (79)]"/>
  </connection>
  <connection id="156" xr16:uid="{C5162D1F-3C13-47F3-99A8-D69F0D404C31}" keepAlive="1" name="クエリ - テーブル 5 (8)" description="ブック内の 'テーブル 5 (8)' クエリへの接続です。" type="5" refreshedVersion="8" background="1" saveData="1">
    <dbPr connection="Provider=Microsoft.Mashup.OleDb.1;Data Source=$Workbook$;Location=&quot;テーブル 5 (8)&quot;;Extended Properties=&quot;&quot;" command="SELECT * FROM [テーブル 5 (8)]"/>
  </connection>
  <connection id="157" xr16:uid="{1C4BC1A3-CF05-47AF-8EAB-2DC266D46C01}" keepAlive="1" name="クエリ - テーブル 5 (80)" description="ブック内の 'テーブル 5 (80)' クエリへの接続です。" type="5" refreshedVersion="8" background="1" saveData="1">
    <dbPr connection="Provider=Microsoft.Mashup.OleDb.1;Data Source=$Workbook$;Location=&quot;テーブル 5 (80)&quot;;Extended Properties=&quot;&quot;" command="SELECT * FROM [テーブル 5 (80)]"/>
  </connection>
  <connection id="158" xr16:uid="{2F76004B-5DDB-4D95-A2BA-56750AE269FA}" keepAlive="1" name="クエリ - テーブル 5 (9)" description="ブック内の 'テーブル 5 (9)' クエリへの接続です。" type="5" refreshedVersion="8" background="1" saveData="1">
    <dbPr connection="Provider=Microsoft.Mashup.OleDb.1;Data Source=$Workbook$;Location=&quot;テーブル 5 (9)&quot;;Extended Properties=&quot;&quot;" command="SELECT * FROM [テーブル 5 (9)]"/>
  </connection>
</connections>
</file>

<file path=xl/sharedStrings.xml><?xml version="1.0" encoding="utf-8"?>
<sst xmlns="http://schemas.openxmlformats.org/spreadsheetml/2006/main" count="348" uniqueCount="49">
  <si>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</si>
  <si>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</si>
  <si>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</si>
  <si>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</si>
  <si>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</si>
  <si>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</si>
  <si>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</si>
  <si>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Column1</t>
  </si>
  <si>
    <t>Bear Trap</t>
  </si>
  <si>
    <t>Michael Jordan Bonema</t>
  </si>
  <si>
    <t>MIKE</t>
  </si>
  <si>
    <t>Clown of the Class (Work Harder)</t>
  </si>
  <si>
    <t>Michael Jordan Bonema, Jacob Rochester</t>
  </si>
  <si>
    <t>Then we could be free..</t>
  </si>
  <si>
    <t>Watered down</t>
  </si>
  <si>
    <t>man in the mirror</t>
  </si>
  <si>
    <t>Artist of the Century</t>
  </si>
  <si>
    <t>Michael Jordan Bonema, DJ Paradise</t>
  </si>
  <si>
    <t>MIKE feat. Venna</t>
  </si>
  <si>
    <t>What U Bouta Do?/A Star was Born</t>
  </si>
  <si>
    <t>Michael Jordan Bonema, Willie Wilson, Anysia Kym</t>
  </si>
  <si>
    <t>MIKE feat. 454</t>
  </si>
  <si>
    <t>Belly 1</t>
  </si>
  <si>
    <t>Michael Jordan Bonema, Harrison</t>
  </si>
  <si>
    <t>MIKE feat. Surf Gang</t>
  </si>
  <si>
    <t>Da Roc</t>
  </si>
  <si>
    <t>The Weight (2k20)</t>
  </si>
  <si>
    <t>Lost Scribe</t>
  </si>
  <si>
    <t>Michael Jordan Bonema, ShunGu</t>
  </si>
  <si>
    <t>You're the Only One Watching</t>
  </si>
  <si>
    <t>Lucky</t>
  </si>
  <si>
    <t>#82</t>
  </si>
  <si>
    <t>Too Hot (Interlude)</t>
  </si>
  <si>
    <t>Pieces of a Dream</t>
  </si>
  <si>
    <t>Strange Feeling</t>
  </si>
  <si>
    <t>Zombie, Pt. 2</t>
  </si>
  <si>
    <t>Michael Jordan Bonema, Lindsay Olson</t>
  </si>
  <si>
    <t>Burning House</t>
  </si>
  <si>
    <t>Michael Jordan Bonema, Thelonious Martin and Jacob Rochester</t>
  </si>
  <si>
    <t>Showbiz (Intro)</t>
  </si>
  <si>
    <t>Michael Jordan Bonema, Laron Wages</t>
  </si>
  <si>
    <t>Spun Out</t>
  </si>
  <si>
    <t>Miss U</t>
  </si>
  <si>
    <t>Michael Jordan Bonema, duendita, Jeremy McCoulsky, Malik Venner</t>
  </si>
  <si>
    <t>MIKE feat. duendita</t>
  </si>
  <si>
    <t>When It Rains</t>
  </si>
  <si>
    <t>Michael Jordan Bonema,  Laron Wages</t>
  </si>
  <si>
    <t>Diamond Dancing (Broke)</t>
  </si>
  <si>
    <t>Michael Jordan Bonema, Malik Venner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</si>
</sst>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7" xr16:uid="{5A16F453-21CF-49AF-BB80-418D7BCF3307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5" xr16:uid="{1FA05EDC-5DFB-41F5-86C9-50C2A6B601F9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8121FD-571D-48A9-9F55-725380213DA2}" name="テーブル_5__793" displayName="テーブル_5__793" ref="A1:E25" tableType="queryTable" totalsRowShown="0">
  <autoFilter ref="A1:E25" xr:uid="{C08121FD-571D-48A9-9F55-725380213DA2}"/>
  <tableColumns count="5">
    <tableColumn id="1" xr3:uid="{50D59F2A-FD44-44C2-9D07-684923966657}" uniqueName="1" name="Column1" queryTableFieldId="1"/>
    <tableColumn id="2" xr3:uid="{8A121377-EC86-4887-AE07-1D4A31DD14CA}" uniqueName="2" name="Title" queryTableFieldId="2" dataDxfId="3"/>
    <tableColumn id="3" xr3:uid="{28806E6B-6E77-44B7-BF06-EAEEED418E8C}" uniqueName="3" name="Composer" queryTableFieldId="3" dataDxfId="2"/>
    <tableColumn id="4" xr3:uid="{FD5B38C8-8D95-4A4D-AAFD-16E83B6E52B6}" uniqueName="4" name="Performer" queryTableFieldId="4" dataDxfId="1"/>
    <tableColumn id="5" xr3:uid="{7BC90628-74EE-4AD8-AA03-4FF165976016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2F7856-FA6B-4137-B881-74D2F0732324}" name="テーブル_5__79" displayName="テーブル_5__79" ref="A1:E25" tableType="queryTable" totalsRowShown="0">
  <autoFilter ref="A1:E25" xr:uid="{0E2F7856-FA6B-4137-B881-74D2F0732324}"/>
  <tableColumns count="5">
    <tableColumn id="1" xr3:uid="{34FE2E24-E0D6-4C1A-84A7-E18681611088}" uniqueName="1" name="Column1" queryTableFieldId="1"/>
    <tableColumn id="2" xr3:uid="{528E22AA-3253-4328-BBC5-F36EB40D7183}" uniqueName="2" name="Title" queryTableFieldId="2" dataDxfId="7"/>
    <tableColumn id="3" xr3:uid="{B755E175-08C1-4CBE-8FF9-193542778320}" uniqueName="3" name="Composer" queryTableFieldId="3" dataDxfId="6"/>
    <tableColumn id="4" xr3:uid="{7DCAF430-8E3B-433B-8C79-7A40AAEBEAB3}" uniqueName="4" name="Performer" queryTableFieldId="4" dataDxfId="5"/>
    <tableColumn id="5" xr3:uid="{B0AD1DCC-2BBE-4115-9DC7-C0F288C8DC8B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"/>
  <sheetViews>
    <sheetView workbookViewId="0">
      <selection sqref="A1:XFD1048576"/>
    </sheetView>
  </sheetViews>
  <sheetFormatPr defaultRowHeight="19.5"/>
  <cols>
    <col min="1" max="1" width="11" bestFit="1" customWidth="1"/>
    <col min="2" max="2" width="33.21875" bestFit="1" customWidth="1"/>
    <col min="3" max="3" width="61.88671875" bestFit="1" customWidth="1"/>
    <col min="4" max="4" width="20.2187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7" t="s">
        <v>8</v>
      </c>
      <c r="C2" s="7" t="s">
        <v>9</v>
      </c>
      <c r="D2" s="7" t="s">
        <v>10</v>
      </c>
      <c r="E2" s="5">
        <v>0.11805555555555555</v>
      </c>
    </row>
    <row r="3" spans="1:5">
      <c r="A3">
        <v>2</v>
      </c>
      <c r="B3" s="7" t="s">
        <v>11</v>
      </c>
      <c r="C3" s="7" t="s">
        <v>12</v>
      </c>
      <c r="D3" s="7" t="s">
        <v>10</v>
      </c>
      <c r="E3" s="5">
        <v>5.2777777777777778E-2</v>
      </c>
    </row>
    <row r="4" spans="1:5">
      <c r="A4">
        <v>3</v>
      </c>
      <c r="B4" s="7" t="s">
        <v>13</v>
      </c>
      <c r="C4" s="7" t="s">
        <v>9</v>
      </c>
      <c r="D4" s="7" t="s">
        <v>10</v>
      </c>
      <c r="E4" s="5">
        <v>6.1111111111111109E-2</v>
      </c>
    </row>
    <row r="5" spans="1:5">
      <c r="A5">
        <v>4</v>
      </c>
      <c r="B5" s="7" t="s">
        <v>14</v>
      </c>
      <c r="C5" s="7" t="s">
        <v>9</v>
      </c>
      <c r="D5" s="7" t="s">
        <v>10</v>
      </c>
      <c r="E5" s="5">
        <v>7.7777777777777779E-2</v>
      </c>
    </row>
    <row r="6" spans="1:5">
      <c r="A6">
        <v>5</v>
      </c>
      <c r="B6" s="7" t="s">
        <v>15</v>
      </c>
      <c r="C6" s="7" t="s">
        <v>9</v>
      </c>
      <c r="D6" s="7" t="s">
        <v>10</v>
      </c>
      <c r="E6" s="5">
        <v>7.7083333333333337E-2</v>
      </c>
    </row>
    <row r="7" spans="1:5">
      <c r="A7">
        <v>6</v>
      </c>
      <c r="B7" s="7" t="s">
        <v>16</v>
      </c>
      <c r="C7" s="7" t="s">
        <v>17</v>
      </c>
      <c r="D7" s="7" t="s">
        <v>18</v>
      </c>
      <c r="E7" s="5">
        <v>0.12013888888888889</v>
      </c>
    </row>
    <row r="8" spans="1:5">
      <c r="A8">
        <v>7</v>
      </c>
      <c r="B8" s="7" t="s">
        <v>19</v>
      </c>
      <c r="C8" s="7" t="s">
        <v>20</v>
      </c>
      <c r="D8" s="7" t="s">
        <v>21</v>
      </c>
      <c r="E8" s="5">
        <v>0.10416666666666667</v>
      </c>
    </row>
    <row r="9" spans="1:5">
      <c r="A9">
        <v>8</v>
      </c>
      <c r="B9" s="7" t="s">
        <v>22</v>
      </c>
      <c r="C9" s="7" t="s">
        <v>23</v>
      </c>
      <c r="D9" s="7" t="s">
        <v>24</v>
      </c>
      <c r="E9" s="5">
        <v>6.7361111111111108E-2</v>
      </c>
    </row>
    <row r="10" spans="1:5">
      <c r="A10">
        <v>9</v>
      </c>
      <c r="B10" s="7" t="s">
        <v>25</v>
      </c>
      <c r="C10" s="7" t="s">
        <v>9</v>
      </c>
      <c r="D10" s="7" t="s">
        <v>10</v>
      </c>
      <c r="E10" s="5">
        <v>5.5555555555555552E-2</v>
      </c>
    </row>
    <row r="11" spans="1:5">
      <c r="A11">
        <v>10</v>
      </c>
      <c r="B11" s="7" t="s">
        <v>26</v>
      </c>
      <c r="C11" s="7" t="s">
        <v>9</v>
      </c>
      <c r="D11" s="7" t="s">
        <v>10</v>
      </c>
      <c r="E11" s="5">
        <v>5.2777777777777778E-2</v>
      </c>
    </row>
    <row r="12" spans="1:5">
      <c r="A12">
        <v>11</v>
      </c>
      <c r="B12" s="7" t="s">
        <v>27</v>
      </c>
      <c r="C12" s="7" t="s">
        <v>28</v>
      </c>
      <c r="D12" s="7" t="s">
        <v>10</v>
      </c>
      <c r="E12" s="5">
        <v>6.6666666666666666E-2</v>
      </c>
    </row>
    <row r="13" spans="1:5">
      <c r="A13">
        <v>12</v>
      </c>
      <c r="B13" s="7" t="s">
        <v>29</v>
      </c>
      <c r="C13" s="7" t="s">
        <v>9</v>
      </c>
      <c r="D13" s="7" t="s">
        <v>10</v>
      </c>
      <c r="E13" s="5">
        <v>8.6805555555555552E-2</v>
      </c>
    </row>
    <row r="14" spans="1:5">
      <c r="A14">
        <v>13</v>
      </c>
      <c r="B14" s="7" t="s">
        <v>30</v>
      </c>
      <c r="C14" s="7" t="s">
        <v>9</v>
      </c>
      <c r="D14" s="7" t="s">
        <v>10</v>
      </c>
      <c r="E14" s="5">
        <v>9.375E-2</v>
      </c>
    </row>
    <row r="15" spans="1:5">
      <c r="A15">
        <v>14</v>
      </c>
      <c r="B15" s="7" t="s">
        <v>31</v>
      </c>
      <c r="C15" s="7" t="s">
        <v>9</v>
      </c>
      <c r="D15" s="7" t="s">
        <v>10</v>
      </c>
      <c r="E15" s="5">
        <v>8.0555555555555561E-2</v>
      </c>
    </row>
    <row r="16" spans="1:5">
      <c r="A16">
        <v>15</v>
      </c>
      <c r="B16" s="7" t="s">
        <v>32</v>
      </c>
      <c r="C16" s="7" t="s">
        <v>9</v>
      </c>
      <c r="D16" s="7" t="s">
        <v>10</v>
      </c>
      <c r="E16" s="5">
        <v>3.6805555555555557E-2</v>
      </c>
    </row>
    <row r="17" spans="1:5">
      <c r="A17">
        <v>16</v>
      </c>
      <c r="B17" s="7" t="s">
        <v>33</v>
      </c>
      <c r="C17" s="7" t="s">
        <v>9</v>
      </c>
      <c r="D17" s="7" t="s">
        <v>10</v>
      </c>
      <c r="E17" s="5">
        <v>0.10972222222222222</v>
      </c>
    </row>
    <row r="18" spans="1:5">
      <c r="A18">
        <v>17</v>
      </c>
      <c r="B18" s="7" t="s">
        <v>34</v>
      </c>
      <c r="C18" s="7" t="s">
        <v>9</v>
      </c>
      <c r="D18" s="7" t="s">
        <v>10</v>
      </c>
      <c r="E18" s="5">
        <v>8.4027777777777785E-2</v>
      </c>
    </row>
    <row r="19" spans="1:5">
      <c r="A19">
        <v>18</v>
      </c>
      <c r="B19" s="7" t="s">
        <v>35</v>
      </c>
      <c r="C19" s="7" t="s">
        <v>36</v>
      </c>
      <c r="D19" s="7" t="s">
        <v>10</v>
      </c>
      <c r="E19" s="5">
        <v>6.7361111111111108E-2</v>
      </c>
    </row>
    <row r="20" spans="1:5">
      <c r="A20">
        <v>19</v>
      </c>
      <c r="B20" s="7" t="s">
        <v>37</v>
      </c>
      <c r="C20" s="7" t="s">
        <v>38</v>
      </c>
      <c r="D20" s="7" t="s">
        <v>10</v>
      </c>
      <c r="E20" s="5">
        <v>0.125</v>
      </c>
    </row>
    <row r="21" spans="1:5">
      <c r="A21">
        <v>20</v>
      </c>
      <c r="B21" s="7" t="s">
        <v>39</v>
      </c>
      <c r="C21" s="7" t="s">
        <v>40</v>
      </c>
      <c r="D21" s="7" t="s">
        <v>10</v>
      </c>
      <c r="E21" s="5">
        <v>8.4722222222222227E-2</v>
      </c>
    </row>
    <row r="22" spans="1:5">
      <c r="A22">
        <v>21</v>
      </c>
      <c r="B22" s="7" t="s">
        <v>41</v>
      </c>
      <c r="C22" s="7" t="s">
        <v>9</v>
      </c>
      <c r="D22" s="7" t="s">
        <v>10</v>
      </c>
      <c r="E22" s="5">
        <v>0.10555555555555556</v>
      </c>
    </row>
    <row r="23" spans="1:5">
      <c r="A23">
        <v>22</v>
      </c>
      <c r="B23" s="7" t="s">
        <v>42</v>
      </c>
      <c r="C23" s="7" t="s">
        <v>43</v>
      </c>
      <c r="D23" s="7" t="s">
        <v>44</v>
      </c>
      <c r="E23" s="5">
        <v>6.3194444444444442E-2</v>
      </c>
    </row>
    <row r="24" spans="1:5">
      <c r="A24">
        <v>23</v>
      </c>
      <c r="B24" s="7" t="s">
        <v>45</v>
      </c>
      <c r="C24" s="7" t="s">
        <v>46</v>
      </c>
      <c r="D24" s="7" t="s">
        <v>10</v>
      </c>
      <c r="E24" s="5">
        <v>8.1944444444444445E-2</v>
      </c>
    </row>
    <row r="25" spans="1:5">
      <c r="A25">
        <v>24</v>
      </c>
      <c r="B25" s="7" t="s">
        <v>47</v>
      </c>
      <c r="C25" s="7" t="s">
        <v>48</v>
      </c>
      <c r="D25" s="7" t="s">
        <v>10</v>
      </c>
      <c r="E25" s="5">
        <v>0.1076388888888889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4"/>
  <sheetViews>
    <sheetView tabSelected="1" topLeftCell="G11" workbookViewId="0">
      <selection activeCell="A3" sqref="A3:K28"/>
    </sheetView>
  </sheetViews>
  <sheetFormatPr defaultColWidth="11.5546875" defaultRowHeight="19.5"/>
  <cols>
    <col min="1" max="1" width="4.21875" customWidth="1"/>
    <col min="3" max="3" width="3.88671875" style="3" customWidth="1"/>
    <col min="4" max="4" width="21.109375" customWidth="1"/>
    <col min="5" max="5" width="4" style="3" customWidth="1"/>
    <col min="6" max="6" width="119.21875" bestFit="1" customWidth="1"/>
    <col min="7" max="7" width="4.44140625" style="3" customWidth="1"/>
    <col min="8" max="8" width="21.77734375" customWidth="1"/>
    <col min="9" max="9" width="4.33203125" style="3" customWidth="1"/>
    <col min="10" max="10" width="8.44140625" customWidth="1"/>
    <col min="11" max="11" width="3.44140625" style="3" customWidth="1"/>
  </cols>
  <sheetData>
    <row r="2" spans="1:11">
      <c r="D2" s="1">
        <f t="array" ref="D2">MAX(LENB(Sheet1!B1:'Sheet1'!B30))</f>
        <v>32</v>
      </c>
      <c r="F2" s="1">
        <f t="array" ref="F2">MAX(LENB(Sheet1!C1:'Sheet1'!C30))</f>
        <v>63</v>
      </c>
      <c r="H2" s="1">
        <f t="array" ref="H2">MAX(LENB(Sheet1!D1:'Sheet1'!D30))</f>
        <v>20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                 </v>
      </c>
      <c r="E3" s="3" t="s">
        <v>0</v>
      </c>
      <c r="F3" t="str">
        <f>" "&amp;LEFTB("Composers"&amp;REPT(" ",$F$2-1),$F$2-1)</f>
        <v xml:space="preserve"> Composers                                                     </v>
      </c>
      <c r="G3" s="3" t="s">
        <v>0</v>
      </c>
      <c r="H3" t="str">
        <f>" "&amp;LEFTB("Performer"&amp;REPT(" ",$H$2),$H$2)</f>
        <v xml:space="preserve"> Performer 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-------------------------------- </v>
      </c>
      <c r="E4" s="3" t="s">
        <v>0</v>
      </c>
      <c r="F4" t="str">
        <f>" "&amp;REPT("-",$F$2)&amp;" "</f>
        <v xml:space="preserve"> --------------------------------------------------------------- </v>
      </c>
      <c r="G4" s="3" t="s">
        <v>0</v>
      </c>
      <c r="H4" t="str">
        <f>" "&amp;REPT("-",$H$2)&amp;" "</f>
        <v xml:space="preserve"> --------------------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Bear Trap                       </v>
      </c>
      <c r="E5" s="3" t="s">
        <v>0</v>
      </c>
      <c r="F5" t="str">
        <f>" "&amp;LEFTB(Sheet1!C2&amp;REPT(" ",$F$2),$F$2)</f>
        <v xml:space="preserve"> Michael Jordan Bonema                                          </v>
      </c>
      <c r="G5" s="3" t="s">
        <v>0</v>
      </c>
      <c r="H5" t="str">
        <f>LEFTB(Sheet1!D2&amp;REPT(" ",$H$2),$H$2)</f>
        <v xml:space="preserve">MIKE                </v>
      </c>
      <c r="I5" s="3" t="s">
        <v>0</v>
      </c>
      <c r="J5" s="2" t="str">
        <f>TEXT(Sheet1!E2,"HH:MM")&amp;" "</f>
        <v xml:space="preserve">02:50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>Clown of the Class (Work Harder)</v>
      </c>
      <c r="E6" s="3" t="s">
        <v>0</v>
      </c>
      <c r="F6" t="str">
        <f>" "&amp;LEFTB(Sheet1!C3&amp;REPT(" ",$F$2),$F$2)</f>
        <v xml:space="preserve"> Michael Jordan Bonema, Jacob Rochester                         </v>
      </c>
      <c r="G6" s="3" t="s">
        <v>0</v>
      </c>
      <c r="H6" t="str">
        <f>LEFTB(Sheet1!D3&amp;REPT(" ",$H$2),$H$2)</f>
        <v xml:space="preserve">MIKE                </v>
      </c>
      <c r="I6" s="3" t="s">
        <v>0</v>
      </c>
      <c r="J6" s="2" t="str">
        <f>TEXT(Sheet1!E3,"HH:MM")&amp;" "</f>
        <v xml:space="preserve">01:16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Then we could be free..         </v>
      </c>
      <c r="E7" s="3" t="s">
        <v>0</v>
      </c>
      <c r="F7" t="str">
        <f>" "&amp;LEFTB(Sheet1!C4&amp;REPT(" ",$F$2),$F$2)</f>
        <v xml:space="preserve"> Michael Jordan Bonema                                          </v>
      </c>
      <c r="G7" s="3" t="s">
        <v>0</v>
      </c>
      <c r="H7" t="str">
        <f>LEFTB(Sheet1!D4&amp;REPT(" ",$H$2),$H$2)</f>
        <v xml:space="preserve">MIKE                </v>
      </c>
      <c r="I7" s="3" t="s">
        <v>0</v>
      </c>
      <c r="J7" s="2" t="str">
        <f>TEXT(Sheet1!E4,"HH:MM")&amp;" "</f>
        <v xml:space="preserve">01:28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Watered down                    </v>
      </c>
      <c r="E8" s="3" t="s">
        <v>0</v>
      </c>
      <c r="F8" t="str">
        <f>" "&amp;LEFTB(Sheet1!C5&amp;REPT(" ",$F$2),$F$2)</f>
        <v xml:space="preserve"> Michael Jordan Bonema                                          </v>
      </c>
      <c r="G8" s="3" t="s">
        <v>0</v>
      </c>
      <c r="H8" t="str">
        <f>LEFTB(Sheet1!D5&amp;REPT(" ",$H$2),$H$2)</f>
        <v xml:space="preserve">MIKE                </v>
      </c>
      <c r="I8" s="3" t="s">
        <v>0</v>
      </c>
      <c r="J8" s="2" t="str">
        <f>TEXT(Sheet1!E5,"HH:MM")&amp;" "</f>
        <v xml:space="preserve">01:52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man in the mirror               </v>
      </c>
      <c r="E9" s="3" t="s">
        <v>0</v>
      </c>
      <c r="F9" t="str">
        <f>" "&amp;LEFTB(Sheet1!C6&amp;REPT(" ",$F$2),$F$2)</f>
        <v xml:space="preserve"> Michael Jordan Bonema                                          </v>
      </c>
      <c r="G9" s="3" t="s">
        <v>0</v>
      </c>
      <c r="H9" t="str">
        <f>LEFTB(Sheet1!D6&amp;REPT(" ",$H$2),$H$2)</f>
        <v xml:space="preserve">MIKE                </v>
      </c>
      <c r="I9" s="3" t="s">
        <v>0</v>
      </c>
      <c r="J9" s="2" t="str">
        <f>TEXT(Sheet1!E6,"HH:MM")&amp;" "</f>
        <v xml:space="preserve">01:51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Artist of the Century           </v>
      </c>
      <c r="E10" s="3" t="s">
        <v>0</v>
      </c>
      <c r="F10" t="str">
        <f>" "&amp;LEFTB(Sheet1!C7&amp;REPT(" ",$F$2),$F$2)</f>
        <v xml:space="preserve"> Michael Jordan Bonema, DJ Paradise                             </v>
      </c>
      <c r="G10" s="3" t="s">
        <v>0</v>
      </c>
      <c r="H10" t="str">
        <f>LEFTB(Sheet1!D7&amp;REPT(" ",$H$2),$H$2)</f>
        <v xml:space="preserve">MIKE feat. Venna    </v>
      </c>
      <c r="I10" s="3" t="s">
        <v>0</v>
      </c>
      <c r="J10" s="2" t="str">
        <f>TEXT(Sheet1!E7,"HH:MM")&amp;" "</f>
        <v xml:space="preserve">02:53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>What U Bouta Do?/A Star was Born</v>
      </c>
      <c r="E11" s="3" t="s">
        <v>0</v>
      </c>
      <c r="F11" t="str">
        <f>" "&amp;LEFTB(Sheet1!C8&amp;REPT(" ",$F$2),$F$2)</f>
        <v xml:space="preserve"> Michael Jordan Bonema, Willie Wilson, Anysia Kym               </v>
      </c>
      <c r="G11" s="3" t="s">
        <v>0</v>
      </c>
      <c r="H11" t="str">
        <f>LEFTB(Sheet1!D8&amp;REPT(" ",$H$2),$H$2)</f>
        <v xml:space="preserve">MIKE feat. 454      </v>
      </c>
      <c r="I11" s="3" t="s">
        <v>0</v>
      </c>
      <c r="J11" s="2" t="str">
        <f>TEXT(Sheet1!E8,"HH:MM")&amp;" "</f>
        <v xml:space="preserve">02:30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 xml:space="preserve">Belly 1                         </v>
      </c>
      <c r="E12" s="3" t="s">
        <v>0</v>
      </c>
      <c r="F12" t="str">
        <f>" "&amp;LEFTB(Sheet1!C9&amp;REPT(" ",$F$2),$F$2)</f>
        <v xml:space="preserve"> Michael Jordan Bonema, Harrison                                </v>
      </c>
      <c r="G12" s="3" t="s">
        <v>0</v>
      </c>
      <c r="H12" t="str">
        <f>LEFTB(Sheet1!D9&amp;REPT(" ",$H$2),$H$2)</f>
        <v>MIKE feat. Surf Gang</v>
      </c>
      <c r="I12" s="3" t="s">
        <v>0</v>
      </c>
      <c r="J12" s="2" t="str">
        <f>TEXT(Sheet1!E9,"HH:MM")&amp;" "</f>
        <v xml:space="preserve">01:37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Da Roc                          </v>
      </c>
      <c r="E13" s="3" t="s">
        <v>0</v>
      </c>
      <c r="F13" t="str">
        <f>" "&amp;LEFTB(Sheet1!C10&amp;REPT(" ",$F$2),$F$2)</f>
        <v xml:space="preserve"> Michael Jordan Bonema                                          </v>
      </c>
      <c r="G13" s="3" t="s">
        <v>0</v>
      </c>
      <c r="H13" t="str">
        <f>LEFTB(Sheet1!D10&amp;REPT(" ",$H$2),$H$2)</f>
        <v xml:space="preserve">MIKE                </v>
      </c>
      <c r="I13" s="3" t="s">
        <v>0</v>
      </c>
      <c r="J13" s="2" t="str">
        <f>TEXT(Sheet1!E10,"HH:MM")&amp;" "</f>
        <v xml:space="preserve">01:20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The Weight (2k20)               </v>
      </c>
      <c r="E14" s="3" t="s">
        <v>0</v>
      </c>
      <c r="F14" t="str">
        <f>" "&amp;LEFTB(Sheet1!C11&amp;REPT(" ",$F$2),$F$2)</f>
        <v xml:space="preserve"> Michael Jordan Bonema                                          </v>
      </c>
      <c r="G14" s="3" t="s">
        <v>0</v>
      </c>
      <c r="H14" t="str">
        <f>LEFTB(Sheet1!D11&amp;REPT(" ",$H$2),$H$2)</f>
        <v xml:space="preserve">MIKE                </v>
      </c>
      <c r="I14" s="3" t="s">
        <v>0</v>
      </c>
      <c r="J14" s="2" t="str">
        <f>TEXT(Sheet1!E11,"HH:MM")&amp;" "</f>
        <v xml:space="preserve">01:16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 xml:space="preserve">Lost Scribe                     </v>
      </c>
      <c r="E15" s="3" t="s">
        <v>0</v>
      </c>
      <c r="F15" t="str">
        <f>" "&amp;LEFTB(Sheet1!C12&amp;REPT(" ",$F$2),$F$2)</f>
        <v xml:space="preserve"> Michael Jordan Bonema, ShunGu                                  </v>
      </c>
      <c r="G15" s="3" t="s">
        <v>0</v>
      </c>
      <c r="H15" t="str">
        <f>LEFTB(Sheet1!D12&amp;REPT(" ",$H$2),$H$2)</f>
        <v xml:space="preserve">MIKE                </v>
      </c>
      <c r="I15" s="3" t="s">
        <v>0</v>
      </c>
      <c r="J15" s="2" t="str">
        <f>TEXT(Sheet1!E12,"HH:MM")&amp;" "</f>
        <v xml:space="preserve">01:36 </v>
      </c>
      <c r="K15" s="3" t="s">
        <v>0</v>
      </c>
    </row>
    <row r="16" spans="1:11">
      <c r="A16" t="s">
        <v>0</v>
      </c>
      <c r="B16">
        <f>Sheet1!A13</f>
        <v>12</v>
      </c>
      <c r="C16" s="3" t="s">
        <v>0</v>
      </c>
      <c r="D16" s="4" t="str">
        <f>LEFTB(Sheet1!B13&amp;REPT(" ",$D$2),$D$2)</f>
        <v xml:space="preserve">You're the Only One Watching    </v>
      </c>
      <c r="E16" s="3" t="s">
        <v>0</v>
      </c>
      <c r="F16" t="str">
        <f>" "&amp;LEFTB(Sheet1!C13&amp;REPT(" ",$F$2),$F$2)</f>
        <v xml:space="preserve"> Michael Jordan Bonema                                          </v>
      </c>
      <c r="G16" s="3" t="s">
        <v>0</v>
      </c>
      <c r="H16" t="str">
        <f>LEFTB(Sheet1!D13&amp;REPT(" ",$H$2),$H$2)</f>
        <v xml:space="preserve">MIKE                </v>
      </c>
      <c r="I16" s="3" t="s">
        <v>0</v>
      </c>
      <c r="J16" s="2" t="str">
        <f>TEXT(Sheet1!E13,"HH:MM")&amp;" "</f>
        <v xml:space="preserve">02:05 </v>
      </c>
      <c r="K16" s="3" t="s">
        <v>0</v>
      </c>
    </row>
    <row r="17" spans="1:11">
      <c r="A17" t="s">
        <v>0</v>
      </c>
      <c r="B17">
        <f>Sheet1!A14</f>
        <v>13</v>
      </c>
      <c r="C17" s="3" t="s">
        <v>0</v>
      </c>
      <c r="D17" s="4" t="str">
        <f>LEFTB(Sheet1!B14&amp;REPT(" ",$D$2),$D$2)</f>
        <v xml:space="preserve">Lucky                           </v>
      </c>
      <c r="E17" s="3" t="s">
        <v>0</v>
      </c>
      <c r="F17" t="str">
        <f>" "&amp;LEFTB(Sheet1!C14&amp;REPT(" ",$F$2),$F$2)</f>
        <v xml:space="preserve"> Michael Jordan Bonema                                          </v>
      </c>
      <c r="G17" s="3" t="s">
        <v>0</v>
      </c>
      <c r="H17" t="str">
        <f>LEFTB(Sheet1!D14&amp;REPT(" ",$H$2),$H$2)</f>
        <v xml:space="preserve">MIKE                </v>
      </c>
      <c r="I17" s="3" t="s">
        <v>0</v>
      </c>
      <c r="J17" s="2" t="str">
        <f>TEXT(Sheet1!E14,"HH:MM")&amp;" "</f>
        <v xml:space="preserve">02:15 </v>
      </c>
      <c r="K17" s="3" t="s">
        <v>0</v>
      </c>
    </row>
    <row r="18" spans="1:11">
      <c r="A18" t="s">
        <v>0</v>
      </c>
      <c r="B18">
        <f>Sheet1!A15</f>
        <v>14</v>
      </c>
      <c r="C18" s="3" t="s">
        <v>0</v>
      </c>
      <c r="D18" t="str">
        <f>LEFTB(Sheet1!B15&amp;REPT(" ",$D$2),$D$2)</f>
        <v xml:space="preserve">#82                             </v>
      </c>
      <c r="E18" s="3" t="s">
        <v>0</v>
      </c>
      <c r="F18" t="str">
        <f>" "&amp;LEFTB(Sheet1!C15&amp;REPT(" ",$F$2),$F$2)</f>
        <v xml:space="preserve"> Michael Jordan Bonema                                          </v>
      </c>
      <c r="G18" s="3" t="s">
        <v>0</v>
      </c>
      <c r="H18" t="str">
        <f>LEFTB(Sheet1!D15&amp;REPT(" ",$H$2),$H$2)</f>
        <v xml:space="preserve">MIKE                </v>
      </c>
      <c r="I18" s="3" t="s">
        <v>0</v>
      </c>
      <c r="J18" s="2" t="str">
        <f>TEXT(Sheet1!E15,"HH:MM")&amp;" "</f>
        <v xml:space="preserve">01:56 </v>
      </c>
      <c r="K18" s="3" t="s">
        <v>0</v>
      </c>
    </row>
    <row r="19" spans="1:11">
      <c r="A19" t="s">
        <v>0</v>
      </c>
      <c r="B19">
        <f>Sheet1!A16</f>
        <v>15</v>
      </c>
      <c r="C19" s="3" t="s">
        <v>0</v>
      </c>
      <c r="D19" t="str">
        <f>LEFTB(Sheet1!B16&amp;REPT(" ",$D$2),$D$2)</f>
        <v xml:space="preserve">Too Hot (Interlude)             </v>
      </c>
      <c r="E19" s="3" t="s">
        <v>0</v>
      </c>
      <c r="F19" t="str">
        <f>" "&amp;LEFTB(Sheet1!C16&amp;REPT(" ",$F$2),$F$2)</f>
        <v xml:space="preserve"> Michael Jordan Bonema                                          </v>
      </c>
      <c r="G19" s="3" t="s">
        <v>0</v>
      </c>
      <c r="H19" t="str">
        <f>LEFTB(Sheet1!D16&amp;REPT(" ",$H$2),$H$2)</f>
        <v xml:space="preserve">MIKE                </v>
      </c>
      <c r="I19" s="3" t="s">
        <v>0</v>
      </c>
      <c r="J19" s="2" t="str">
        <f>TEXT(Sheet1!E16,"HH:MM")&amp;" "</f>
        <v xml:space="preserve">00:53 </v>
      </c>
      <c r="K19" s="3" t="s">
        <v>0</v>
      </c>
    </row>
    <row r="20" spans="1:11">
      <c r="A20" t="s">
        <v>0</v>
      </c>
      <c r="B20">
        <f>Sheet1!A17</f>
        <v>16</v>
      </c>
      <c r="C20" s="3" t="s">
        <v>0</v>
      </c>
      <c r="D20" t="str">
        <f>LEFTB(Sheet1!B17&amp;REPT(" ",$D$2),$D$2)</f>
        <v xml:space="preserve">Pieces of a Dream               </v>
      </c>
      <c r="E20" s="3" t="s">
        <v>0</v>
      </c>
      <c r="F20" t="str">
        <f>" "&amp;LEFTB(Sheet1!C17&amp;REPT(" ",$F$2),$F$2)</f>
        <v xml:space="preserve"> Michael Jordan Bonema                                          </v>
      </c>
      <c r="G20" s="3" t="s">
        <v>0</v>
      </c>
      <c r="H20" t="str">
        <f>LEFTB(Sheet1!D17&amp;REPT(" ",$H$2),$H$2)</f>
        <v xml:space="preserve">MIKE                </v>
      </c>
      <c r="I20" s="3" t="s">
        <v>0</v>
      </c>
      <c r="J20" s="2" t="str">
        <f>TEXT(Sheet1!E17,"HH:MM")&amp;" "</f>
        <v xml:space="preserve">02:38 </v>
      </c>
      <c r="K20" s="3" t="s">
        <v>0</v>
      </c>
    </row>
    <row r="21" spans="1:11">
      <c r="A21" t="s">
        <v>0</v>
      </c>
      <c r="B21">
        <f>Sheet1!A18</f>
        <v>17</v>
      </c>
      <c r="C21" s="3" t="s">
        <v>0</v>
      </c>
      <c r="D21" t="str">
        <f>LEFTB(Sheet1!B18&amp;REPT(" ",$D$2),$D$2)</f>
        <v xml:space="preserve">Strange Feeling                 </v>
      </c>
      <c r="E21" s="3" t="s">
        <v>0</v>
      </c>
      <c r="F21" t="str">
        <f>" "&amp;LEFTB(Sheet1!C18&amp;REPT(" ",$F$2),$F$2)</f>
        <v xml:space="preserve"> Michael Jordan Bonema                                          </v>
      </c>
      <c r="G21" s="3" t="s">
        <v>0</v>
      </c>
      <c r="H21" t="str">
        <f>LEFTB(Sheet1!D18&amp;REPT(" ",$H$2),$H$2)</f>
        <v xml:space="preserve">MIKE                </v>
      </c>
      <c r="I21" s="3" t="s">
        <v>0</v>
      </c>
      <c r="J21" s="2" t="str">
        <f>TEXT(Sheet1!E18,"HH:MM")&amp;" "</f>
        <v xml:space="preserve">02:01 </v>
      </c>
      <c r="K21" s="3" t="s">
        <v>0</v>
      </c>
    </row>
    <row r="22" spans="1:11">
      <c r="A22" t="s">
        <v>0</v>
      </c>
      <c r="B22">
        <f>Sheet1!A19</f>
        <v>18</v>
      </c>
      <c r="C22" s="3" t="s">
        <v>0</v>
      </c>
      <c r="D22" t="str">
        <f>LEFTB(Sheet1!B19&amp;REPT(" ",$D$2),$D$2)</f>
        <v xml:space="preserve">Zombie, Pt. 2                   </v>
      </c>
      <c r="E22" s="3" t="s">
        <v>0</v>
      </c>
      <c r="F22" t="str">
        <f>" "&amp;LEFTB(Sheet1!C19&amp;REPT(" ",$F$2),$F$2)</f>
        <v xml:space="preserve"> Michael Jordan Bonema, Lindsay Olson                           </v>
      </c>
      <c r="G22" s="3" t="s">
        <v>0</v>
      </c>
      <c r="H22" t="str">
        <f>LEFTB(Sheet1!D19&amp;REPT(" ",$H$2),$H$2)</f>
        <v xml:space="preserve">MIKE                </v>
      </c>
      <c r="I22" s="3" t="s">
        <v>0</v>
      </c>
      <c r="J22" s="2" t="str">
        <f>TEXT(Sheet1!E19,"HH:MM")&amp;" "</f>
        <v xml:space="preserve">01:37 </v>
      </c>
      <c r="K22" s="3" t="s">
        <v>0</v>
      </c>
    </row>
    <row r="23" spans="1:11">
      <c r="A23" t="s">
        <v>0</v>
      </c>
      <c r="B23">
        <f>Sheet1!A20</f>
        <v>19</v>
      </c>
      <c r="C23" s="3" t="s">
        <v>0</v>
      </c>
      <c r="D23" t="str">
        <f>LEFTB(Sheet1!B20&amp;REPT(" ",$D$2),$D$2)</f>
        <v xml:space="preserve">Burning House                   </v>
      </c>
      <c r="E23" s="3" t="s">
        <v>0</v>
      </c>
      <c r="F23" t="str">
        <f>" "&amp;LEFTB(Sheet1!C20&amp;REPT(" ",$F$2),$F$2)</f>
        <v xml:space="preserve"> Michael Jordan Bonema, Thelonious Martin and Jacob Rochester   </v>
      </c>
      <c r="G23" s="3" t="s">
        <v>0</v>
      </c>
      <c r="H23" t="str">
        <f>LEFTB(Sheet1!D20&amp;REPT(" ",$H$2),$H$2)</f>
        <v xml:space="preserve">MIKE                </v>
      </c>
      <c r="I23" s="3" t="s">
        <v>0</v>
      </c>
      <c r="J23" s="2" t="str">
        <f>TEXT(Sheet1!E20,"HH:MM")&amp;" "</f>
        <v xml:space="preserve">03:00 </v>
      </c>
      <c r="K23" s="3" t="s">
        <v>0</v>
      </c>
    </row>
    <row r="24" spans="1:11">
      <c r="A24" t="s">
        <v>0</v>
      </c>
      <c r="B24">
        <f>Sheet1!A21</f>
        <v>20</v>
      </c>
      <c r="C24" s="3" t="s">
        <v>0</v>
      </c>
      <c r="D24" t="str">
        <f>LEFTB(Sheet1!B21&amp;REPT(" ",$D$2),$D$2)</f>
        <v xml:space="preserve">Showbiz (Intro)                 </v>
      </c>
      <c r="E24" s="3" t="s">
        <v>0</v>
      </c>
      <c r="F24" t="str">
        <f>" "&amp;LEFTB(Sheet1!C21&amp;REPT(" ",$F$2),$F$2)</f>
        <v xml:space="preserve"> Michael Jordan Bonema, Laron Wages                             </v>
      </c>
      <c r="G24" s="3" t="s">
        <v>0</v>
      </c>
      <c r="H24" t="str">
        <f>LEFTB(Sheet1!D21&amp;REPT(" ",$H$2),$H$2)</f>
        <v xml:space="preserve">MIKE                </v>
      </c>
      <c r="I24" s="3" t="s">
        <v>0</v>
      </c>
      <c r="J24" s="2" t="str">
        <f>TEXT(Sheet1!E21,"HH:MM")&amp;" "</f>
        <v xml:space="preserve">02:02 </v>
      </c>
      <c r="K24" s="3" t="s">
        <v>0</v>
      </c>
    </row>
    <row r="25" spans="1:11">
      <c r="A25" t="s">
        <v>0</v>
      </c>
      <c r="B25">
        <f>Sheet1!A22</f>
        <v>21</v>
      </c>
      <c r="C25" s="3" t="s">
        <v>0</v>
      </c>
      <c r="D25" t="str">
        <f>LEFTB(Sheet1!B22&amp;REPT(" ",$D$2),$D$2)</f>
        <v xml:space="preserve">Spun Out                        </v>
      </c>
      <c r="E25" s="3" t="s">
        <v>0</v>
      </c>
      <c r="F25" t="str">
        <f>" "&amp;LEFTB(Sheet1!C22&amp;REPT(" ",$F$2),$F$2)</f>
        <v xml:space="preserve"> Michael Jordan Bonema                                          </v>
      </c>
      <c r="G25" s="3" t="s">
        <v>0</v>
      </c>
      <c r="H25" t="str">
        <f>LEFTB(Sheet1!D22&amp;REPT(" ",$H$2),$H$2)</f>
        <v xml:space="preserve">MIKE                </v>
      </c>
      <c r="I25" s="3" t="s">
        <v>0</v>
      </c>
      <c r="J25" s="2" t="str">
        <f>TEXT(Sheet1!E22,"HH:MM")&amp;" "</f>
        <v xml:space="preserve">02:32 </v>
      </c>
      <c r="K25" s="3" t="s">
        <v>0</v>
      </c>
    </row>
    <row r="26" spans="1:11">
      <c r="A26" t="s">
        <v>0</v>
      </c>
      <c r="B26">
        <f>Sheet1!A23</f>
        <v>22</v>
      </c>
      <c r="C26" s="3" t="s">
        <v>0</v>
      </c>
      <c r="D26" t="str">
        <f>LEFTB(Sheet1!B23&amp;REPT(" ",$D$2),$D$2)</f>
        <v xml:space="preserve">Miss U                          </v>
      </c>
      <c r="E26" s="3" t="s">
        <v>0</v>
      </c>
      <c r="F26" t="str">
        <f>" "&amp;LEFTB(Sheet1!C23&amp;REPT(" ",$F$2),$F$2)</f>
        <v xml:space="preserve"> Michael Jordan Bonema, duendita, Jeremy McCoulsky, Malik Venner</v>
      </c>
      <c r="G26" s="3" t="s">
        <v>0</v>
      </c>
      <c r="H26" t="str">
        <f>LEFTB(Sheet1!D23&amp;REPT(" ",$H$2),$H$2)</f>
        <v xml:space="preserve">MIKE feat. duendita </v>
      </c>
      <c r="I26" s="3" t="s">
        <v>0</v>
      </c>
      <c r="J26" s="2" t="str">
        <f>TEXT(Sheet1!E23,"HH:MM")&amp;" "</f>
        <v xml:space="preserve">01:31 </v>
      </c>
      <c r="K26" s="3" t="s">
        <v>0</v>
      </c>
    </row>
    <row r="27" spans="1:11">
      <c r="A27" t="s">
        <v>0</v>
      </c>
      <c r="B27">
        <f>Sheet1!A24</f>
        <v>23</v>
      </c>
      <c r="C27" s="3" t="s">
        <v>0</v>
      </c>
      <c r="D27" t="str">
        <f>LEFTB(Sheet1!B24&amp;REPT(" ",$D$2),$D$2)</f>
        <v xml:space="preserve">When It Rains                   </v>
      </c>
      <c r="E27" s="3" t="s">
        <v>0</v>
      </c>
      <c r="F27" t="str">
        <f>" "&amp;LEFTB(Sheet1!C24&amp;REPT(" ",$F$2),$F$2)</f>
        <v xml:space="preserve"> Michael Jordan Bonema,  Laron Wages                            </v>
      </c>
      <c r="G27" s="3" t="s">
        <v>0</v>
      </c>
      <c r="H27" t="str">
        <f>LEFTB(Sheet1!D24&amp;REPT(" ",$H$2),$H$2)</f>
        <v xml:space="preserve">MIKE                </v>
      </c>
      <c r="I27" s="3" t="s">
        <v>0</v>
      </c>
      <c r="J27" s="2" t="str">
        <f>TEXT(Sheet1!E24,"HH:MM")&amp;" "</f>
        <v xml:space="preserve">01:58 </v>
      </c>
      <c r="K27" s="3" t="s">
        <v>0</v>
      </c>
    </row>
    <row r="28" spans="1:11">
      <c r="A28" t="s">
        <v>0</v>
      </c>
      <c r="B28">
        <f>Sheet1!A25</f>
        <v>24</v>
      </c>
      <c r="C28" s="3" t="s">
        <v>0</v>
      </c>
      <c r="D28" t="str">
        <f>LEFTB(Sheet1!B25&amp;REPT(" ",$D$2),$D$2)</f>
        <v xml:space="preserve">Diamond Dancing (Broke)         </v>
      </c>
      <c r="E28" s="3" t="s">
        <v>0</v>
      </c>
      <c r="F28" t="str">
        <f>" "&amp;LEFTB(Sheet1!C25&amp;REPT(" ",$F$2),$F$2)</f>
        <v xml:space="preserve"> Michael Jordan Bonema, Malik Venner                            </v>
      </c>
      <c r="G28" s="3" t="s">
        <v>0</v>
      </c>
      <c r="H28" t="str">
        <f>LEFTB(Sheet1!D25&amp;REPT(" ",$H$2),$H$2)</f>
        <v xml:space="preserve">MIKE                </v>
      </c>
      <c r="I28" s="3" t="s">
        <v>0</v>
      </c>
      <c r="J28" s="2" t="str">
        <f>TEXT(Sheet1!E25,"HH:MM")&amp;" "</f>
        <v xml:space="preserve">02:35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                 </v>
      </c>
      <c r="E29" s="3" t="s">
        <v>0</v>
      </c>
      <c r="F29" t="str">
        <f>" "&amp;LEFTB(Sheet1!C26&amp;REPT(" ",$F$2),$F$2)</f>
        <v xml:space="preserve">                                                                </v>
      </c>
      <c r="G29" s="3" t="s">
        <v>0</v>
      </c>
      <c r="H29" t="str">
        <f>LEFTB(Sheet1!D26&amp;REPT(" ",$H$2),$H$2)</f>
        <v xml:space="preserve"> 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                 </v>
      </c>
      <c r="E30" s="3" t="s">
        <v>0</v>
      </c>
      <c r="F30" t="str">
        <f>" "&amp;LEFTB(Sheet1!C27&amp;REPT(" ",$F$2),$F$2)</f>
        <v xml:space="preserve">                                                                </v>
      </c>
      <c r="G30" s="3" t="s">
        <v>0</v>
      </c>
      <c r="H30" t="str">
        <f>LEFTB(Sheet1!D27&amp;REPT(" ",$H$2),$H$2)</f>
        <v xml:space="preserve"> 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  <row r="31" spans="1:11">
      <c r="A31" t="s">
        <v>0</v>
      </c>
      <c r="B31">
        <f>Sheet1!A28</f>
        <v>0</v>
      </c>
      <c r="C31" s="3" t="s">
        <v>0</v>
      </c>
      <c r="D31" t="str">
        <f>LEFTB(Sheet1!B28&amp;REPT(" ",$D$2),$D$2)</f>
        <v xml:space="preserve">                                </v>
      </c>
      <c r="E31" s="3" t="s">
        <v>0</v>
      </c>
      <c r="F31" t="str">
        <f>" "&amp;LEFTB(Sheet1!C28&amp;REPT(" ",$F$2),$F$2)</f>
        <v xml:space="preserve">                                                                </v>
      </c>
      <c r="G31" s="3" t="s">
        <v>0</v>
      </c>
      <c r="H31" t="str">
        <f>LEFTB(Sheet1!D28&amp;REPT(" ",$H$2),$H$2)</f>
        <v xml:space="preserve">                    </v>
      </c>
      <c r="I31" s="3" t="s">
        <v>0</v>
      </c>
      <c r="J31" s="2" t="str">
        <f>TEXT(Sheet1!E28,"HH:MM")&amp;" "</f>
        <v xml:space="preserve">00:00 </v>
      </c>
      <c r="K31" s="3" t="s">
        <v>0</v>
      </c>
    </row>
    <row r="32" spans="1:11">
      <c r="A32" t="s">
        <v>0</v>
      </c>
      <c r="B32">
        <f>Sheet1!A29</f>
        <v>0</v>
      </c>
      <c r="C32" s="3" t="s">
        <v>0</v>
      </c>
      <c r="D32" t="str">
        <f>LEFTB(Sheet1!B29&amp;REPT(" ",$D$2),$D$2)</f>
        <v xml:space="preserve">                                </v>
      </c>
      <c r="E32" s="3" t="s">
        <v>0</v>
      </c>
      <c r="F32" t="str">
        <f>" "&amp;LEFTB(Sheet1!C29&amp;REPT(" ",$F$2),$F$2)</f>
        <v xml:space="preserve">                                                                </v>
      </c>
      <c r="G32" s="3" t="s">
        <v>0</v>
      </c>
      <c r="H32" t="str">
        <f>LEFTB(Sheet1!D29&amp;REPT(" ",$H$2),$H$2)</f>
        <v xml:space="preserve">                    </v>
      </c>
      <c r="I32" s="3" t="s">
        <v>0</v>
      </c>
      <c r="J32" s="2" t="str">
        <f>TEXT(Sheet1!E29,"HH:MM")&amp;" "</f>
        <v xml:space="preserve">00:00 </v>
      </c>
      <c r="K32" s="3" t="s">
        <v>0</v>
      </c>
    </row>
    <row r="33" spans="1:11">
      <c r="A33" t="s">
        <v>0</v>
      </c>
      <c r="B33">
        <f>Sheet1!A30</f>
        <v>0</v>
      </c>
      <c r="C33" s="3" t="s">
        <v>0</v>
      </c>
      <c r="D33" t="str">
        <f>LEFTB(Sheet1!B30&amp;REPT(" ",$D$2),$D$2)</f>
        <v xml:space="preserve">                                </v>
      </c>
      <c r="E33" s="3" t="s">
        <v>0</v>
      </c>
      <c r="F33" t="str">
        <f>" "&amp;LEFTB(Sheet1!C30&amp;REPT(" ",$F$2),$F$2)</f>
        <v xml:space="preserve">                                                                </v>
      </c>
      <c r="G33" s="3" t="s">
        <v>0</v>
      </c>
      <c r="H33" t="str">
        <f>LEFTB(Sheet1!D30&amp;REPT(" ",$H$2),$H$2)</f>
        <v xml:space="preserve">                    </v>
      </c>
      <c r="I33" s="3" t="s">
        <v>0</v>
      </c>
      <c r="J33" s="2" t="str">
        <f>TEXT(Sheet1!E30,"HH:MM")&amp;" "</f>
        <v xml:space="preserve">00:00 </v>
      </c>
      <c r="K33" s="3" t="s">
        <v>0</v>
      </c>
    </row>
    <row r="34" spans="1:11">
      <c r="A34" t="s">
        <v>0</v>
      </c>
      <c r="B34">
        <f>Sheet1!A31</f>
        <v>0</v>
      </c>
      <c r="C34" s="3" t="s">
        <v>0</v>
      </c>
      <c r="D34" t="str">
        <f>LEFTB(Sheet1!B31&amp;REPT(" ",$D$2),$D$2)</f>
        <v xml:space="preserve">                                </v>
      </c>
      <c r="E34" s="3" t="s">
        <v>0</v>
      </c>
      <c r="F34" t="str">
        <f>" "&amp;LEFTB(Sheet1!C31&amp;REPT(" ",$F$2),$F$2)</f>
        <v xml:space="preserve">                                                                </v>
      </c>
      <c r="G34" s="3" t="s">
        <v>0</v>
      </c>
      <c r="H34" t="str">
        <f>LEFTB(Sheet1!D31&amp;REPT(" ",$H$2),$H$2)</f>
        <v xml:space="preserve">                    </v>
      </c>
      <c r="I34" s="3" t="s">
        <v>0</v>
      </c>
      <c r="J34" s="2" t="str">
        <f>TEXT(Sheet1!E31,"HH:MM")&amp;" "</f>
        <v xml:space="preserve">00:00 </v>
      </c>
      <c r="K34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F6DA1-7931-420C-996E-8105E946EC80}">
  <dimension ref="A1:E25"/>
  <sheetViews>
    <sheetView topLeftCell="A9" workbookViewId="0">
      <selection activeCell="A9" sqref="A1:XFD1048576"/>
    </sheetView>
  </sheetViews>
  <sheetFormatPr defaultRowHeight="19.5"/>
  <cols>
    <col min="1" max="1" width="11" bestFit="1" customWidth="1"/>
    <col min="2" max="2" width="33.21875" bestFit="1" customWidth="1"/>
    <col min="3" max="3" width="61.88671875" bestFit="1" customWidth="1"/>
    <col min="4" max="4" width="20.2187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7" t="s">
        <v>8</v>
      </c>
      <c r="C2" s="7" t="s">
        <v>9</v>
      </c>
      <c r="D2" s="7" t="s">
        <v>10</v>
      </c>
      <c r="E2" s="5">
        <v>0.11805555555555555</v>
      </c>
    </row>
    <row r="3" spans="1:5">
      <c r="A3">
        <v>2</v>
      </c>
      <c r="B3" s="7" t="s">
        <v>11</v>
      </c>
      <c r="C3" s="7" t="s">
        <v>12</v>
      </c>
      <c r="D3" s="7" t="s">
        <v>10</v>
      </c>
      <c r="E3" s="5">
        <v>5.2777777777777778E-2</v>
      </c>
    </row>
    <row r="4" spans="1:5">
      <c r="A4">
        <v>3</v>
      </c>
      <c r="B4" s="7" t="s">
        <v>13</v>
      </c>
      <c r="C4" s="7" t="s">
        <v>9</v>
      </c>
      <c r="D4" s="7" t="s">
        <v>10</v>
      </c>
      <c r="E4" s="5">
        <v>6.1111111111111109E-2</v>
      </c>
    </row>
    <row r="5" spans="1:5">
      <c r="A5">
        <v>4</v>
      </c>
      <c r="B5" s="7" t="s">
        <v>14</v>
      </c>
      <c r="C5" s="7" t="s">
        <v>9</v>
      </c>
      <c r="D5" s="7" t="s">
        <v>10</v>
      </c>
      <c r="E5" s="5">
        <v>7.7777777777777779E-2</v>
      </c>
    </row>
    <row r="6" spans="1:5">
      <c r="A6">
        <v>5</v>
      </c>
      <c r="B6" s="7" t="s">
        <v>15</v>
      </c>
      <c r="C6" s="7" t="s">
        <v>9</v>
      </c>
      <c r="D6" s="7" t="s">
        <v>10</v>
      </c>
      <c r="E6" s="5">
        <v>7.7083333333333337E-2</v>
      </c>
    </row>
    <row r="7" spans="1:5">
      <c r="A7">
        <v>6</v>
      </c>
      <c r="B7" s="7" t="s">
        <v>16</v>
      </c>
      <c r="C7" s="7" t="s">
        <v>17</v>
      </c>
      <c r="D7" s="7" t="s">
        <v>18</v>
      </c>
      <c r="E7" s="5">
        <v>0.12013888888888889</v>
      </c>
    </row>
    <row r="8" spans="1:5">
      <c r="A8">
        <v>7</v>
      </c>
      <c r="B8" s="7" t="s">
        <v>19</v>
      </c>
      <c r="C8" s="7" t="s">
        <v>20</v>
      </c>
      <c r="D8" s="7" t="s">
        <v>21</v>
      </c>
      <c r="E8" s="5">
        <v>0.10416666666666667</v>
      </c>
    </row>
    <row r="9" spans="1:5">
      <c r="A9">
        <v>8</v>
      </c>
      <c r="B9" s="7" t="s">
        <v>22</v>
      </c>
      <c r="C9" s="7" t="s">
        <v>23</v>
      </c>
      <c r="D9" s="7" t="s">
        <v>24</v>
      </c>
      <c r="E9" s="5">
        <v>6.7361111111111108E-2</v>
      </c>
    </row>
    <row r="10" spans="1:5">
      <c r="A10">
        <v>9</v>
      </c>
      <c r="B10" s="7" t="s">
        <v>25</v>
      </c>
      <c r="C10" s="7" t="s">
        <v>9</v>
      </c>
      <c r="D10" s="7" t="s">
        <v>10</v>
      </c>
      <c r="E10" s="5">
        <v>5.5555555555555552E-2</v>
      </c>
    </row>
    <row r="11" spans="1:5">
      <c r="A11">
        <v>10</v>
      </c>
      <c r="B11" s="7" t="s">
        <v>26</v>
      </c>
      <c r="C11" s="7" t="s">
        <v>9</v>
      </c>
      <c r="D11" s="7" t="s">
        <v>10</v>
      </c>
      <c r="E11" s="5">
        <v>5.2777777777777778E-2</v>
      </c>
    </row>
    <row r="12" spans="1:5">
      <c r="A12">
        <v>11</v>
      </c>
      <c r="B12" s="7" t="s">
        <v>27</v>
      </c>
      <c r="C12" s="7" t="s">
        <v>28</v>
      </c>
      <c r="D12" s="7" t="s">
        <v>10</v>
      </c>
      <c r="E12" s="5">
        <v>6.6666666666666666E-2</v>
      </c>
    </row>
    <row r="13" spans="1:5">
      <c r="A13">
        <v>12</v>
      </c>
      <c r="B13" s="7" t="s">
        <v>29</v>
      </c>
      <c r="C13" s="7" t="s">
        <v>9</v>
      </c>
      <c r="D13" s="7" t="s">
        <v>10</v>
      </c>
      <c r="E13" s="5">
        <v>8.6805555555555552E-2</v>
      </c>
    </row>
    <row r="14" spans="1:5">
      <c r="A14">
        <v>13</v>
      </c>
      <c r="B14" s="7" t="s">
        <v>30</v>
      </c>
      <c r="C14" s="7" t="s">
        <v>9</v>
      </c>
      <c r="D14" s="7" t="s">
        <v>10</v>
      </c>
      <c r="E14" s="5">
        <v>9.375E-2</v>
      </c>
    </row>
    <row r="15" spans="1:5">
      <c r="A15">
        <v>14</v>
      </c>
      <c r="B15" s="7" t="s">
        <v>31</v>
      </c>
      <c r="C15" s="7" t="s">
        <v>9</v>
      </c>
      <c r="D15" s="7" t="s">
        <v>10</v>
      </c>
      <c r="E15" s="5">
        <v>8.0555555555555561E-2</v>
      </c>
    </row>
    <row r="16" spans="1:5">
      <c r="A16">
        <v>15</v>
      </c>
      <c r="B16" s="7" t="s">
        <v>32</v>
      </c>
      <c r="C16" s="7" t="s">
        <v>9</v>
      </c>
      <c r="D16" s="7" t="s">
        <v>10</v>
      </c>
      <c r="E16" s="5">
        <v>3.6805555555555557E-2</v>
      </c>
    </row>
    <row r="17" spans="1:5">
      <c r="A17">
        <v>16</v>
      </c>
      <c r="B17" s="7" t="s">
        <v>33</v>
      </c>
      <c r="C17" s="7" t="s">
        <v>9</v>
      </c>
      <c r="D17" s="7" t="s">
        <v>10</v>
      </c>
      <c r="E17" s="5">
        <v>0.10972222222222222</v>
      </c>
    </row>
    <row r="18" spans="1:5">
      <c r="A18">
        <v>17</v>
      </c>
      <c r="B18" s="7" t="s">
        <v>34</v>
      </c>
      <c r="C18" s="7" t="s">
        <v>9</v>
      </c>
      <c r="D18" s="7" t="s">
        <v>10</v>
      </c>
      <c r="E18" s="5">
        <v>8.4027777777777785E-2</v>
      </c>
    </row>
    <row r="19" spans="1:5">
      <c r="A19">
        <v>18</v>
      </c>
      <c r="B19" s="7" t="s">
        <v>35</v>
      </c>
      <c r="C19" s="7" t="s">
        <v>36</v>
      </c>
      <c r="D19" s="7" t="s">
        <v>10</v>
      </c>
      <c r="E19" s="5">
        <v>6.7361111111111108E-2</v>
      </c>
    </row>
    <row r="20" spans="1:5">
      <c r="A20">
        <v>19</v>
      </c>
      <c r="B20" s="7" t="s">
        <v>37</v>
      </c>
      <c r="C20" s="7" t="s">
        <v>38</v>
      </c>
      <c r="D20" s="7" t="s">
        <v>10</v>
      </c>
      <c r="E20" s="5">
        <v>0.125</v>
      </c>
    </row>
    <row r="21" spans="1:5">
      <c r="A21">
        <v>20</v>
      </c>
      <c r="B21" s="7" t="s">
        <v>39</v>
      </c>
      <c r="C21" s="7" t="s">
        <v>40</v>
      </c>
      <c r="D21" s="7" t="s">
        <v>10</v>
      </c>
      <c r="E21" s="5">
        <v>8.4722222222222227E-2</v>
      </c>
    </row>
    <row r="22" spans="1:5">
      <c r="A22">
        <v>21</v>
      </c>
      <c r="B22" s="7" t="s">
        <v>41</v>
      </c>
      <c r="C22" s="7" t="s">
        <v>9</v>
      </c>
      <c r="D22" s="7" t="s">
        <v>10</v>
      </c>
      <c r="E22" s="5">
        <v>0.10555555555555556</v>
      </c>
    </row>
    <row r="23" spans="1:5">
      <c r="A23">
        <v>22</v>
      </c>
      <c r="B23" s="7" t="s">
        <v>42</v>
      </c>
      <c r="C23" s="7" t="s">
        <v>43</v>
      </c>
      <c r="D23" s="7" t="s">
        <v>44</v>
      </c>
      <c r="E23" s="5">
        <v>6.3194444444444442E-2</v>
      </c>
    </row>
    <row r="24" spans="1:5">
      <c r="A24">
        <v>23</v>
      </c>
      <c r="B24" s="7" t="s">
        <v>45</v>
      </c>
      <c r="C24" s="7" t="s">
        <v>46</v>
      </c>
      <c r="D24" s="7" t="s">
        <v>10</v>
      </c>
      <c r="E24" s="5">
        <v>8.1944444444444445E-2</v>
      </c>
    </row>
    <row r="25" spans="1:5">
      <c r="A25">
        <v>24</v>
      </c>
      <c r="B25" s="7" t="s">
        <v>47</v>
      </c>
      <c r="C25" s="7" t="s">
        <v>48</v>
      </c>
      <c r="D25" s="7" t="s">
        <v>10</v>
      </c>
      <c r="E25" s="5">
        <v>0.1076388888888889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3594-03F2-4253-9C2A-465DCDF28FC0}">
  <dimension ref="A2:E20"/>
  <sheetViews>
    <sheetView workbookViewId="0"/>
  </sheetViews>
  <sheetFormatPr defaultRowHeight="19.5"/>
  <cols>
    <col min="1" max="1" width="10.77734375" bestFit="1" customWidth="1"/>
    <col min="2" max="2" width="24.6640625" bestFit="1" customWidth="1"/>
    <col min="3" max="3" width="80.77734375" bestFit="1" customWidth="1"/>
    <col min="4" max="4" width="23.77734375" bestFit="1" customWidth="1"/>
    <col min="5" max="5" width="7.5546875" bestFit="1" customWidth="1"/>
  </cols>
  <sheetData>
    <row r="2" spans="1:5">
      <c r="A2" s="6"/>
      <c r="E2" s="5"/>
    </row>
    <row r="3" spans="1:5">
      <c r="A3" s="6"/>
      <c r="E3" s="5"/>
    </row>
    <row r="4" spans="1:5">
      <c r="A4" s="6"/>
      <c r="E4" s="5"/>
    </row>
    <row r="5" spans="1:5">
      <c r="A5" s="6"/>
      <c r="E5" s="5"/>
    </row>
    <row r="6" spans="1:5">
      <c r="A6" s="6"/>
      <c r="E6" s="5"/>
    </row>
    <row r="7" spans="1:5">
      <c r="A7" s="6"/>
      <c r="E7" s="5"/>
    </row>
    <row r="8" spans="1:5">
      <c r="A8" s="6"/>
      <c r="E8" s="5"/>
    </row>
    <row r="9" spans="1:5">
      <c r="A9" s="6"/>
      <c r="E9" s="5"/>
    </row>
    <row r="10" spans="1:5">
      <c r="A10" s="6"/>
      <c r="E10" s="5"/>
    </row>
    <row r="11" spans="1:5">
      <c r="A11" s="6"/>
      <c r="E11" s="5"/>
    </row>
    <row r="12" spans="1:5">
      <c r="A12" s="6"/>
      <c r="E12" s="5"/>
    </row>
    <row r="13" spans="1:5">
      <c r="A13" s="6"/>
      <c r="E13" s="5"/>
    </row>
    <row r="14" spans="1:5">
      <c r="A14" s="6"/>
      <c r="E14" s="5"/>
    </row>
    <row r="15" spans="1:5">
      <c r="A15" s="6"/>
      <c r="E15" s="5"/>
    </row>
    <row r="16" spans="1:5">
      <c r="A16" s="6"/>
      <c r="E16" s="5"/>
    </row>
    <row r="17" spans="1:5">
      <c r="A17" s="6"/>
      <c r="E17" s="5"/>
    </row>
    <row r="18" spans="1:5">
      <c r="A18" s="6"/>
      <c r="E18" s="5"/>
    </row>
    <row r="19" spans="1:5">
      <c r="A19" s="6"/>
      <c r="E19" s="5"/>
    </row>
    <row r="20" spans="1:5">
      <c r="A20" s="6"/>
      <c r="E20" s="5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E6EEC-D660-47B1-94B3-BC3F2CD9C30C}">
  <dimension ref="E2:E31"/>
  <sheetViews>
    <sheetView workbookViewId="0"/>
  </sheetViews>
  <sheetFormatPr defaultRowHeight="19.5"/>
  <cols>
    <col min="1" max="1" width="10.77734375" bestFit="1" customWidth="1"/>
    <col min="2" max="2" width="25.6640625" bestFit="1" customWidth="1"/>
    <col min="3" max="3" width="80.77734375" bestFit="1" customWidth="1"/>
    <col min="4" max="4" width="42.6640625" bestFit="1" customWidth="1"/>
    <col min="5" max="5" width="7.55468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  <row r="16" spans="5:5">
      <c r="E16" s="5"/>
    </row>
    <row r="17" spans="5:5">
      <c r="E17" s="5"/>
    </row>
    <row r="18" spans="5:5">
      <c r="E18" s="5"/>
    </row>
    <row r="19" spans="5:5">
      <c r="E19" s="5"/>
    </row>
    <row r="20" spans="5:5">
      <c r="E20" s="5"/>
    </row>
    <row r="21" spans="5:5">
      <c r="E21" s="5"/>
    </row>
    <row r="22" spans="5:5">
      <c r="E22" s="5"/>
    </row>
    <row r="23" spans="5:5">
      <c r="E23" s="5"/>
    </row>
    <row r="24" spans="5:5">
      <c r="E24" s="5"/>
    </row>
    <row r="25" spans="5:5">
      <c r="E25" s="5"/>
    </row>
    <row r="26" spans="5:5">
      <c r="E26" s="5"/>
    </row>
    <row r="27" spans="5:5">
      <c r="E27" s="5"/>
    </row>
    <row r="28" spans="5:5">
      <c r="E28" s="5"/>
    </row>
    <row r="29" spans="5:5">
      <c r="E29" s="5"/>
    </row>
    <row r="30" spans="5:5">
      <c r="E30" s="5"/>
    </row>
    <row r="31" spans="5:5">
      <c r="E31" s="5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9F5F9-3C4F-4F38-821F-22FCE9E73653}">
  <dimension ref="E2:E12"/>
  <sheetViews>
    <sheetView workbookViewId="0"/>
  </sheetViews>
  <sheetFormatPr defaultRowHeight="19.5"/>
  <cols>
    <col min="1" max="1" width="10.77734375" bestFit="1" customWidth="1"/>
    <col min="2" max="2" width="18.77734375" bestFit="1" customWidth="1"/>
    <col min="3" max="3" width="50" bestFit="1" customWidth="1"/>
    <col min="4" max="4" width="17.21875" bestFit="1" customWidth="1"/>
    <col min="5" max="5" width="7.55468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Sheet1</vt:lpstr>
      <vt:lpstr>Sheet2</vt:lpstr>
      <vt:lpstr>テーブル 5 (79)</vt:lpstr>
      <vt:lpstr>テーブル 5 (77)</vt:lpstr>
      <vt:lpstr>テーブル 5 (75)</vt:lpstr>
      <vt:lpstr>テーブル 5 (67)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2025-12-12T12:46:14Z</dcterms:modified>
</cp:coreProperties>
</file>