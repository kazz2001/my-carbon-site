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13_ncr:1_{72B763BD-B466-45FE-89D4-5C9F536F6177}" xr6:coauthVersionLast="47" xr6:coauthVersionMax="47" xr10:uidLastSave="{00000000-0000-0000-0000-000000000000}"/>
  <bookViews>
    <workbookView xWindow="12708" yWindow="1056" windowWidth="22104" windowHeight="16824" activeTab="1" xr2:uid="{00000000-000D-0000-FFFF-FFFF00000000}"/>
  </bookViews>
  <sheets>
    <sheet name="Sheet1" sheetId="1" r:id="rId1"/>
    <sheet name="Sheet2" sheetId="2" r:id="rId2"/>
    <sheet name="テーブル 5 (77)" sheetId="78" r:id="rId3"/>
    <sheet name="テーブル 5 (75)" sheetId="77" r:id="rId4"/>
    <sheet name="テーブル 5 (67)" sheetId="73" r:id="rId5"/>
  </sheets>
  <definedNames>
    <definedName name="ExternalData_1" localSheetId="2" hidden="1">'テーブル 5 (77)'!$A$1:$E$20</definedName>
    <definedName name="ExternalData_2" localSheetId="0" hidden="1">Sheet1!$A$1:$E$20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B34" i="2"/>
  <c r="J33" i="2"/>
  <c r="B33" i="2"/>
  <c r="J32" i="2"/>
  <c r="B32" i="2"/>
  <c r="J31" i="2"/>
  <c r="B31" i="2"/>
  <c r="J30" i="2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F34" i="2" l="1"/>
  <c r="F31" i="2"/>
  <c r="F33" i="2"/>
  <c r="F32" i="2"/>
  <c r="D32" i="2"/>
  <c r="D34" i="2"/>
  <c r="D31" i="2"/>
  <c r="D33" i="2"/>
  <c r="H34" i="2"/>
  <c r="H31" i="2"/>
  <c r="H33" i="2"/>
  <c r="H32" i="2"/>
  <c r="H24" i="2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67630F53-615F-47F6-8ACF-7DC5F8B7FED2}" keepAlive="1" name="クエリ - テーブル 5 (69)" description="ブック内の 'テーブル 5 (69)' クエリへの接続です。" type="5" refreshedVersion="8" background="1" saveData="1">
    <dbPr connection="Provider=Microsoft.Mashup.OleDb.1;Data Source=$Workbook$;Location=&quot;テーブル 5 (69)&quot;;Extended Properties=&quot;&quot;" command="SELECT * FROM [テーブル 5 (69)]"/>
  </connection>
  <connection id="145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6" xr16:uid="{B1AF6235-A445-4E85-9851-1DC33458ECA3}" keepAlive="1" name="クエリ - テーブル 5 (70)" description="ブック内の 'テーブル 5 (70)' クエリへの接続です。" type="5" refreshedVersion="8" background="1" saveData="1">
    <dbPr connection="Provider=Microsoft.Mashup.OleDb.1;Data Source=$Workbook$;Location=&quot;テーブル 5 (70)&quot;;Extended Properties=&quot;&quot;" command="SELECT * FROM [テーブル 5 (70)]"/>
  </connection>
  <connection id="147" xr16:uid="{11083B9F-7A86-4C8D-8EA3-740D72E29A11}" keepAlive="1" name="クエリ - テーブル 5 (71)" description="ブック内の 'テーブル 5 (71)' クエリへの接続です。" type="5" refreshedVersion="0" background="1">
    <dbPr connection="Provider=Microsoft.Mashup.OleDb.1;Data Source=$Workbook$;Location=&quot;テーブル 5 (71)&quot;;Extended Properties=&quot;&quot;" command="SELECT * FROM [テーブル 5 (71)]"/>
  </connection>
  <connection id="148" xr16:uid="{4DB7AD5A-B418-47B8-9B01-035F877738C0}" keepAlive="1" name="クエリ - テーブル 5 (72)" description="ブック内の 'テーブル 5 (72)' クエリへの接続です。" type="5" refreshedVersion="8" background="1" saveData="1">
    <dbPr connection="Provider=Microsoft.Mashup.OleDb.1;Data Source=$Workbook$;Location=&quot;テーブル 5 (72)&quot;;Extended Properties=&quot;&quot;" command="SELECT * FROM [テーブル 5 (72)]"/>
  </connection>
  <connection id="149" xr16:uid="{9ABBB067-ADB3-4DC4-9351-030E8EA31DFE}" keepAlive="1" name="クエリ - テーブル 5 (73)" description="ブック内の 'テーブル 5 (73)' クエリへの接続です。" type="5" refreshedVersion="8" background="1" saveData="1">
    <dbPr connection="Provider=Microsoft.Mashup.OleDb.1;Data Source=$Workbook$;Location=&quot;テーブル 5 (73)&quot;;Extended Properties=&quot;&quot;" command="SELECT * FROM [テーブル 5 (73)]"/>
  </connection>
  <connection id="150" xr16:uid="{15E9F6A9-3AA5-4C0C-9881-C59BD0FD4DC1}" keepAlive="1" name="クエリ - テーブル 5 (74)" description="ブック内の 'テーブル 5 (74)' クエリへの接続です。" type="5" refreshedVersion="8" background="1" saveData="1">
    <dbPr connection="Provider=Microsoft.Mashup.OleDb.1;Data Source=$Workbook$;Location=&quot;テーブル 5 (74)&quot;;Extended Properties=&quot;&quot;" command="SELECT * FROM [テーブル 5 (74)]"/>
  </connection>
  <connection id="151" xr16:uid="{F0250E8D-4A68-4C6D-BEEE-6A79E5488BFD}" keepAlive="1" name="クエリ - テーブル 5 (75)" description="ブック内の 'テーブル 5 (75)' クエリへの接続です。" type="5" refreshedVersion="0" background="1">
    <dbPr connection="Provider=Microsoft.Mashup.OleDb.1;Data Source=$Workbook$;Location=&quot;テーブル 5 (75)&quot;;Extended Properties=&quot;&quot;" command="SELECT * FROM [テーブル 5 (75)]"/>
  </connection>
  <connection id="152" xr16:uid="{7603C545-7110-442E-A944-C950C2A962A6}" keepAlive="1" name="クエリ - テーブル 5 (76)" description="ブック内の 'テーブル 5 (76)' クエリへの接続です。" type="5" refreshedVersion="8" background="1" saveData="1">
    <dbPr connection="Provider=Microsoft.Mashup.OleDb.1;Data Source=$Workbook$;Location=&quot;テーブル 5 (76)&quot;;Extended Properties=&quot;&quot;" command="SELECT * FROM [テーブル 5 (76)]"/>
  </connection>
  <connection id="153" xr16:uid="{3F7CC578-1E46-42D8-ADCA-ACAA3B42ED93}" keepAlive="1" name="クエリ - テーブル 5 (77)" description="ブック内の 'テーブル 5 (77)' クエリへの接続です。" type="5" refreshedVersion="8" background="1" saveData="1">
    <dbPr connection="Provider=Microsoft.Mashup.OleDb.1;Data Source=$Workbook$;Location=&quot;テーブル 5 (77)&quot;;Extended Properties=&quot;&quot;" command="SELECT * FROM [テーブル 5 (77)]"/>
  </connection>
  <connection id="154" xr16:uid="{374AE247-1DB4-40CE-A720-AD2A5E2AA29C}" keepAlive="1" name="クエリ - テーブル 5 (78)" description="ブック内の 'テーブル 5 (78)' クエリへの接続です。" type="5" refreshedVersion="8" background="1" saveData="1">
    <dbPr connection="Provider=Microsoft.Mashup.OleDb.1;Data Source=$Workbook$;Location=&quot;テーブル 5 (78)&quot;;Extended Properties=&quot;&quot;" command="SELECT * FROM [テーブル 5 (78)]"/>
  </connection>
  <connection id="155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56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<sst xmlns="http://schemas.openxmlformats.org/spreadsheetml/2006/main" count="318" uniqueCount="52">
  <si>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</si>
  <si>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</si>
  <si>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</si>
  <si>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</si>
  <si>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</si>
  <si>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</si>
  <si>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</si>
  <si>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</si>
  <si>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No More Hiding</t>
  </si>
  <si>
    <t>Solána Rowe, Michael Uzowuru</t>
  </si>
  <si>
    <t>SZA</t>
  </si>
  <si>
    <t>What Do I Do</t>
  </si>
  <si>
    <t>Benjamin Levin, Cody Fayne, Carter Lang, Magnus August H?iberg, Solána
                  Rowe</t>
  </si>
  <si>
    <t>30 For 30</t>
  </si>
  <si>
    <t>Anthony Jermaine White, Kendrick Duckworth, Solána Rowe</t>
  </si>
  <si>
    <t>SZA feat. Kendrick Lamar</t>
  </si>
  <si>
    <t>Diamond Boy (DTM)</t>
  </si>
  <si>
    <t>Tyran Donaldson, Jared Solomon, Carter Lang, Declan Miers, Solána Rowe,
                  Michael Uzowuru</t>
  </si>
  <si>
    <t>BMF</t>
  </si>
  <si>
    <t>Omer Fedi, Carter Lang, Blake Slatkin, Solána Rowe</t>
  </si>
  <si>
    <t>Scorsese Baby Daddy</t>
  </si>
  <si>
    <t>Tyler Johnson, Solána Rowe, Michael Uzowuru</t>
  </si>
  <si>
    <t>Love Me 4 Me</t>
  </si>
  <si>
    <t>Rob Bisel, Carter Lang, Nick Lee, Solána Rowe</t>
  </si>
  <si>
    <t>Chill Baby</t>
  </si>
  <si>
    <t>Calvin Dickinson, Julian Fried, Miles McCollum, Justin Raisen, Solána Rowe</t>
  </si>
  <si>
    <t>My Turn</t>
  </si>
  <si>
    <t>Rob Bisel, Cody Fayne, Solána Rowe</t>
  </si>
  <si>
    <t>Crybaby</t>
  </si>
  <si>
    <t>Cody Fayne, Carter Lang, Declan Miers, Solána Rowe</t>
  </si>
  <si>
    <t>Kitchen</t>
  </si>
  <si>
    <t>Cody Fayne, Solána Rowe</t>
  </si>
  <si>
    <t>Get Behind Me (Interlude)</t>
  </si>
  <si>
    <t>Drive</t>
  </si>
  <si>
    <t>Cody Fayne, Billy Lemos, Solána Rowe</t>
  </si>
  <si>
    <t>Another Life</t>
  </si>
  <si>
    <t>Dylan Wiggins, Solána Rowe, Michael Uzowuru</t>
  </si>
  <si>
    <t>Saturn</t>
  </si>
  <si>
    <t>Rob Bisel, Cian Ducrot, Jared Solomon, Carter Lang, Scott Zhang, Solána
                  Rowe</t>
  </si>
  <si>
    <t>Joni</t>
  </si>
  <si>
    <t>Solána Rowe, Don Toliver, Elliott Smith, Rob Bisel</t>
  </si>
  <si>
    <t>SZA feat. Don Toriver</t>
  </si>
  <si>
    <t>Take You Down</t>
  </si>
  <si>
    <t>Solána Rowe, Dexter Suhn, Cody Fayne</t>
  </si>
  <si>
    <t>Open Arms (Just SZA)</t>
  </si>
  <si>
    <t>Rob Bisel, Douglas Ford, Teo Halm, Jacques Webster, Solána Rowe, Michael
                  Uzowuru</t>
  </si>
  <si>
    <t>PSA</t>
  </si>
  <si>
    <t>Solána Rowe, Rob Bisel, Will Miller, Carter Lang</t>
  </si>
  <si>
    <t>Benjamin Levin, Cody Fayne, Carter Lang, Magnus August H?iberg, Solána                  Rowe</t>
    <phoneticPr fontId="1"/>
  </si>
  <si>
    <t>Tyran Donaldson, Jared Solomon, Carter Lang, Declan Miers, Solána Rowe,                  Michael Uzowuru</t>
    <phoneticPr fontId="1"/>
  </si>
  <si>
    <t>Rob Bisel, Cian Ducrot, Jared Solomon, Carter Lang, Scott Zhang, Solána                  Rowe</t>
    <phoneticPr fontId="1"/>
  </si>
  <si>
    <t>Rob Bisel, Douglas Ford, Teo Halm, Jacques Webster, Solána Rowe, Michael                  Uzowuru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</si>
</sst>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</cellXfs>
  <cellStyles count="1">
    <cellStyle name="標準" xfId="0" builtinId="0"/>
  </cellStyles>
  <dxfs count="10"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4" xr16:uid="{33B5E62A-D4D7-4632-8E9E-86452174F17A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3" xr16:uid="{5E1B7FC0-2B76-42B4-A9C1-C8AF23AAE9FB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EB255B-2B58-4E06-8094-6908693AD4FB}" name="テーブル_5__775" displayName="テーブル_5__775" ref="A1:E20" tableType="queryTable" totalsRowShown="0">
  <autoFilter ref="A1:E20" xr:uid="{7EEB255B-2B58-4E06-8094-6908693AD4FB}"/>
  <tableColumns count="5">
    <tableColumn id="1" xr3:uid="{CFBCD955-05BD-4DDD-89B4-745C74F72652}" uniqueName="1" name="Column1" queryTableFieldId="1" dataDxfId="0"/>
    <tableColumn id="2" xr3:uid="{D769AE77-0BF1-4599-B0E9-CF86AB7DB614}" uniqueName="2" name="Title" queryTableFieldId="2" dataDxfId="4"/>
    <tableColumn id="3" xr3:uid="{81EB6079-BB28-4598-841C-923146953BD5}" uniqueName="3" name="Composer" queryTableFieldId="3" dataDxfId="3"/>
    <tableColumn id="4" xr3:uid="{31FDB271-E3DE-4720-81DE-4D1E00BBA816}" uniqueName="4" name="Performer" queryTableFieldId="4" dataDxfId="2"/>
    <tableColumn id="5" xr3:uid="{1F41D0BF-A675-49FC-8A4A-54EE29602EDE}" uniqueName="5" name="Time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30BE58-99F0-4690-89C5-D2FD395E5CD5}" name="テーブル_5__77" displayName="テーブル_5__77" ref="A1:E20" tableType="queryTable" totalsRowShown="0">
  <autoFilter ref="A1:E20" xr:uid="{9030BE58-99F0-4690-89C5-D2FD395E5CD5}"/>
  <tableColumns count="5">
    <tableColumn id="1" xr3:uid="{0A6EF840-D9EE-4BAB-B851-379208C6EB67}" uniqueName="1" name="Column1" queryTableFieldId="1" dataDxfId="9"/>
    <tableColumn id="2" xr3:uid="{AFBE1E7F-C840-447C-9775-E1682A0EA750}" uniqueName="2" name="Title" queryTableFieldId="2" dataDxfId="8"/>
    <tableColumn id="3" xr3:uid="{84F2E9AA-B9B2-494B-B066-74055CF47D13}" uniqueName="3" name="Composer" queryTableFieldId="3" dataDxfId="7"/>
    <tableColumn id="4" xr3:uid="{06BC5F75-E541-47CF-ADB6-CE495E9469FE}" uniqueName="4" name="Performer" queryTableFieldId="4" dataDxfId="6"/>
    <tableColumn id="5" xr3:uid="{CF69A777-137D-415B-97BE-4B4F339A0B6E}" uniqueName="5" name="Time" queryTableFieldId="5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workbookViewId="0">
      <selection activeCell="C20" sqref="C20"/>
    </sheetView>
  </sheetViews>
  <sheetFormatPr defaultRowHeight="19.8"/>
  <cols>
    <col min="1" max="1" width="10.81640625" bestFit="1" customWidth="1"/>
    <col min="2" max="2" width="24.6328125" bestFit="1" customWidth="1"/>
    <col min="3" max="3" width="80.7265625" bestFit="1" customWidth="1"/>
    <col min="4" max="4" width="23.81640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 s="6">
        <v>1</v>
      </c>
      <c r="B2" s="6" t="s">
        <v>8</v>
      </c>
      <c r="C2" s="6" t="s">
        <v>9</v>
      </c>
      <c r="D2" s="6" t="s">
        <v>10</v>
      </c>
      <c r="E2" s="5">
        <v>0.1125</v>
      </c>
    </row>
    <row r="3" spans="1:5">
      <c r="A3" s="6">
        <v>2</v>
      </c>
      <c r="B3" s="6" t="s">
        <v>11</v>
      </c>
      <c r="C3" s="6" t="s">
        <v>48</v>
      </c>
      <c r="D3" s="6" t="s">
        <v>10</v>
      </c>
      <c r="E3" s="5">
        <v>0.11597222222222223</v>
      </c>
    </row>
    <row r="4" spans="1:5">
      <c r="A4" s="6">
        <v>3</v>
      </c>
      <c r="B4" s="6" t="s">
        <v>13</v>
      </c>
      <c r="C4" s="6" t="s">
        <v>14</v>
      </c>
      <c r="D4" s="6" t="s">
        <v>15</v>
      </c>
      <c r="E4" s="5">
        <v>0.19305555555555556</v>
      </c>
    </row>
    <row r="5" spans="1:5">
      <c r="A5" s="6">
        <v>4</v>
      </c>
      <c r="B5" s="6" t="s">
        <v>16</v>
      </c>
      <c r="C5" s="6" t="s">
        <v>49</v>
      </c>
      <c r="D5" s="6" t="s">
        <v>10</v>
      </c>
      <c r="E5" s="5">
        <v>0.15069444444444444</v>
      </c>
    </row>
    <row r="6" spans="1:5">
      <c r="A6" s="6">
        <v>5</v>
      </c>
      <c r="B6" s="6" t="s">
        <v>18</v>
      </c>
      <c r="C6" s="6" t="s">
        <v>19</v>
      </c>
      <c r="D6" s="6" t="s">
        <v>10</v>
      </c>
      <c r="E6" s="5">
        <v>0.125</v>
      </c>
    </row>
    <row r="7" spans="1:5">
      <c r="A7" s="6">
        <v>6</v>
      </c>
      <c r="B7" s="6" t="s">
        <v>20</v>
      </c>
      <c r="C7" s="6" t="s">
        <v>21</v>
      </c>
      <c r="D7" s="6" t="s">
        <v>10</v>
      </c>
      <c r="E7" s="5">
        <v>0.10625</v>
      </c>
    </row>
    <row r="8" spans="1:5">
      <c r="A8" s="6">
        <v>7</v>
      </c>
      <c r="B8" s="6" t="s">
        <v>22</v>
      </c>
      <c r="C8" s="6" t="s">
        <v>23</v>
      </c>
      <c r="D8" s="6" t="s">
        <v>10</v>
      </c>
      <c r="E8" s="5">
        <v>0.12847222222222221</v>
      </c>
    </row>
    <row r="9" spans="1:5">
      <c r="A9" s="6">
        <v>8</v>
      </c>
      <c r="B9" s="6" t="s">
        <v>24</v>
      </c>
      <c r="C9" s="6" t="s">
        <v>25</v>
      </c>
      <c r="D9" s="6" t="s">
        <v>10</v>
      </c>
      <c r="E9" s="5">
        <v>9.7222222222222224E-2</v>
      </c>
    </row>
    <row r="10" spans="1:5">
      <c r="A10" s="6">
        <v>9</v>
      </c>
      <c r="B10" s="6" t="s">
        <v>26</v>
      </c>
      <c r="C10" s="6" t="s">
        <v>27</v>
      </c>
      <c r="D10" s="6" t="s">
        <v>10</v>
      </c>
      <c r="E10" s="5">
        <v>0.12291666666666666</v>
      </c>
    </row>
    <row r="11" spans="1:5">
      <c r="A11" s="6">
        <v>10</v>
      </c>
      <c r="B11" s="6" t="s">
        <v>28</v>
      </c>
      <c r="C11" s="6" t="s">
        <v>29</v>
      </c>
      <c r="D11" s="6" t="s">
        <v>10</v>
      </c>
      <c r="E11" s="5">
        <v>0.1673611111111111</v>
      </c>
    </row>
    <row r="12" spans="1:5">
      <c r="A12" s="6">
        <v>11</v>
      </c>
      <c r="B12" s="6" t="s">
        <v>30</v>
      </c>
      <c r="C12" s="6" t="s">
        <v>31</v>
      </c>
      <c r="D12" s="6" t="s">
        <v>10</v>
      </c>
      <c r="E12" s="5">
        <v>0.11944444444444445</v>
      </c>
    </row>
    <row r="13" spans="1:5">
      <c r="A13" s="6">
        <v>12</v>
      </c>
      <c r="B13" s="6" t="s">
        <v>32</v>
      </c>
      <c r="C13" s="6" t="s">
        <v>9</v>
      </c>
      <c r="D13" s="6" t="s">
        <v>10</v>
      </c>
      <c r="E13" s="5">
        <v>7.4999999999999997E-2</v>
      </c>
    </row>
    <row r="14" spans="1:5">
      <c r="A14" s="6">
        <v>13</v>
      </c>
      <c r="B14" s="6" t="s">
        <v>33</v>
      </c>
      <c r="C14" s="6" t="s">
        <v>34</v>
      </c>
      <c r="D14" s="6" t="s">
        <v>10</v>
      </c>
      <c r="E14" s="5">
        <v>0.12847222222222221</v>
      </c>
    </row>
    <row r="15" spans="1:5">
      <c r="A15" s="6">
        <v>14</v>
      </c>
      <c r="B15" s="6" t="s">
        <v>35</v>
      </c>
      <c r="C15" s="6" t="s">
        <v>36</v>
      </c>
      <c r="D15" s="6" t="s">
        <v>10</v>
      </c>
      <c r="E15" s="5">
        <v>0.1423611111111111</v>
      </c>
    </row>
    <row r="16" spans="1:5">
      <c r="A16" s="6">
        <v>15</v>
      </c>
      <c r="B16" s="6" t="s">
        <v>37</v>
      </c>
      <c r="C16" s="6" t="s">
        <v>50</v>
      </c>
      <c r="D16" s="6" t="s">
        <v>10</v>
      </c>
      <c r="E16" s="5">
        <v>0.12916666666666668</v>
      </c>
    </row>
    <row r="17" spans="1:5">
      <c r="A17" s="6">
        <v>16</v>
      </c>
      <c r="B17" s="6" t="s">
        <v>39</v>
      </c>
      <c r="C17" s="6" t="s">
        <v>40</v>
      </c>
      <c r="D17" s="6" t="s">
        <v>41</v>
      </c>
      <c r="E17" s="5">
        <v>8.819444444444445E-2</v>
      </c>
    </row>
    <row r="18" spans="1:5">
      <c r="A18" s="6">
        <v>17</v>
      </c>
      <c r="B18" s="6" t="s">
        <v>42</v>
      </c>
      <c r="C18" s="6" t="s">
        <v>43</v>
      </c>
      <c r="D18" s="6" t="s">
        <v>10</v>
      </c>
      <c r="E18" s="5">
        <v>0.11041666666666666</v>
      </c>
    </row>
    <row r="19" spans="1:5">
      <c r="A19" s="6">
        <v>18</v>
      </c>
      <c r="B19" s="6" t="s">
        <v>44</v>
      </c>
      <c r="C19" s="6" t="s">
        <v>51</v>
      </c>
      <c r="D19" s="6" t="s">
        <v>10</v>
      </c>
      <c r="E19" s="5">
        <v>0.14930555555555555</v>
      </c>
    </row>
    <row r="20" spans="1:5">
      <c r="A20" s="6">
        <v>19</v>
      </c>
      <c r="B20" s="6" t="s">
        <v>46</v>
      </c>
      <c r="C20" s="6" t="s">
        <v>47</v>
      </c>
      <c r="D20" s="6" t="s">
        <v>10</v>
      </c>
      <c r="E20" s="5">
        <v>6.8750000000000006E-2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4"/>
  <sheetViews>
    <sheetView tabSelected="1" topLeftCell="G3" workbookViewId="0">
      <selection activeCell="A3" sqref="A3:K23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119.1796875" bestFit="1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25</v>
      </c>
      <c r="F2" s="1">
        <f t="array" ref="F2">MAX(LENB(Sheet1!C1:'Sheet1'!C30))</f>
        <v>104</v>
      </c>
      <c r="H2" s="1">
        <f t="array" ref="H2">MAX(LENB(Sheet1!D1:'Sheet1'!D30))</f>
        <v>24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No More Hiding           </v>
      </c>
      <c r="E5" s="3" t="s">
        <v>0</v>
      </c>
      <c r="F5" t="str">
        <f>" "&amp;LEFTB(Sheet1!C2&amp;REPT(" ",$F$2),$F$2)</f>
        <v xml:space="preserve"> Solána Rowe, Michael Uzowuru                                                                           </v>
      </c>
      <c r="G5" s="3" t="s">
        <v>0</v>
      </c>
      <c r="H5" t="str">
        <f>LEFTB(Sheet1!D2&amp;REPT(" ",$H$2),$H$2)</f>
        <v xml:space="preserve">SZA                     </v>
      </c>
      <c r="I5" s="3" t="s">
        <v>0</v>
      </c>
      <c r="J5" s="2" t="str">
        <f>TEXT(Sheet1!E2,"HH:MM")&amp;" "</f>
        <v xml:space="preserve">02:42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What Do I Do             </v>
      </c>
      <c r="E6" s="3" t="s">
        <v>0</v>
      </c>
      <c r="F6" t="str">
        <f>" "&amp;LEFTB(Sheet1!C3&amp;REPT(" ",$F$2),$F$2)</f>
        <v xml:space="preserve"> Benjamin Levin, Cody Fayne, Carter Lang, Magnus August H?iberg, Solána                  Rowe           </v>
      </c>
      <c r="G6" s="3" t="s">
        <v>0</v>
      </c>
      <c r="H6" t="str">
        <f>LEFTB(Sheet1!D3&amp;REPT(" ",$H$2),$H$2)</f>
        <v xml:space="preserve">SZA                     </v>
      </c>
      <c r="I6" s="3" t="s">
        <v>0</v>
      </c>
      <c r="J6" s="2" t="str">
        <f>TEXT(Sheet1!E3,"HH:MM")&amp;" "</f>
        <v xml:space="preserve">02:47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30 For 30                </v>
      </c>
      <c r="E7" s="3" t="s">
        <v>0</v>
      </c>
      <c r="F7" t="str">
        <f>" "&amp;LEFTB(Sheet1!C4&amp;REPT(" ",$F$2),$F$2)</f>
        <v xml:space="preserve"> Anthony Jermaine White, Kendrick Duckworth, Solána Rowe                                                </v>
      </c>
      <c r="G7" s="3" t="s">
        <v>0</v>
      </c>
      <c r="H7" t="str">
        <f>LEFTB(Sheet1!D4&amp;REPT(" ",$H$2),$H$2)</f>
        <v>SZA feat. Kendrick Lamar</v>
      </c>
      <c r="I7" s="3" t="s">
        <v>0</v>
      </c>
      <c r="J7" s="2" t="str">
        <f>TEXT(Sheet1!E4,"HH:MM")&amp;" "</f>
        <v xml:space="preserve">04:38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Diamond Boy (DTM)        </v>
      </c>
      <c r="E8" s="3" t="s">
        <v>0</v>
      </c>
      <c r="F8" t="str">
        <f>" "&amp;LEFTB(Sheet1!C5&amp;REPT(" ",$F$2),$F$2)</f>
        <v xml:space="preserve"> Tyran Donaldson, Jared Solomon, Carter Lang, Declan Miers, Solána Rowe,                  Michael Uzowur</v>
      </c>
      <c r="G8" s="3" t="s">
        <v>0</v>
      </c>
      <c r="H8" t="str">
        <f>LEFTB(Sheet1!D5&amp;REPT(" ",$H$2),$H$2)</f>
        <v xml:space="preserve">SZA                     </v>
      </c>
      <c r="I8" s="3" t="s">
        <v>0</v>
      </c>
      <c r="J8" s="2" t="str">
        <f>TEXT(Sheet1!E5,"HH:MM")&amp;" "</f>
        <v xml:space="preserve">03:37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BMF                      </v>
      </c>
      <c r="E9" s="3" t="s">
        <v>0</v>
      </c>
      <c r="F9" t="str">
        <f>" "&amp;LEFTB(Sheet1!C6&amp;REPT(" ",$F$2),$F$2)</f>
        <v xml:space="preserve"> Omer Fedi, Carter Lang, Blake Slatkin, Solána Rowe                                                     </v>
      </c>
      <c r="G9" s="3" t="s">
        <v>0</v>
      </c>
      <c r="H9" t="str">
        <f>LEFTB(Sheet1!D6&amp;REPT(" ",$H$2),$H$2)</f>
        <v xml:space="preserve">SZA                     </v>
      </c>
      <c r="I9" s="3" t="s">
        <v>0</v>
      </c>
      <c r="J9" s="2" t="str">
        <f>TEXT(Sheet1!E6,"HH:MM")&amp;" "</f>
        <v xml:space="preserve">03:00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Scorsese Baby Daddy      </v>
      </c>
      <c r="E10" s="3" t="s">
        <v>0</v>
      </c>
      <c r="F10" t="str">
        <f>" "&amp;LEFTB(Sheet1!C7&amp;REPT(" ",$F$2),$F$2)</f>
        <v xml:space="preserve"> Tyler Johnson, Solána Rowe, Michael Uzowuru                                                            </v>
      </c>
      <c r="G10" s="3" t="s">
        <v>0</v>
      </c>
      <c r="H10" t="str">
        <f>LEFTB(Sheet1!D7&amp;REPT(" ",$H$2),$H$2)</f>
        <v xml:space="preserve">SZA                     </v>
      </c>
      <c r="I10" s="3" t="s">
        <v>0</v>
      </c>
      <c r="J10" s="2" t="str">
        <f>TEXT(Sheet1!E7,"HH:MM")&amp;" "</f>
        <v xml:space="preserve">02:33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Love Me 4 Me             </v>
      </c>
      <c r="E11" s="3" t="s">
        <v>0</v>
      </c>
      <c r="F11" t="str">
        <f>" "&amp;LEFTB(Sheet1!C8&amp;REPT(" ",$F$2),$F$2)</f>
        <v xml:space="preserve"> Rob Bisel, Carter Lang, Nick Lee, Solána Rowe                                                          </v>
      </c>
      <c r="G11" s="3" t="s">
        <v>0</v>
      </c>
      <c r="H11" t="str">
        <f>LEFTB(Sheet1!D8&amp;REPT(" ",$H$2),$H$2)</f>
        <v xml:space="preserve">SZA                     </v>
      </c>
      <c r="I11" s="3" t="s">
        <v>0</v>
      </c>
      <c r="J11" s="2" t="str">
        <f>TEXT(Sheet1!E8,"HH:MM")&amp;" "</f>
        <v xml:space="preserve">03:05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Chill Baby               </v>
      </c>
      <c r="E12" s="3" t="s">
        <v>0</v>
      </c>
      <c r="F12" t="str">
        <f>" "&amp;LEFTB(Sheet1!C9&amp;REPT(" ",$F$2),$F$2)</f>
        <v xml:space="preserve"> Calvin Dickinson, Julian Fried, Miles McCollum, Justin Raisen, Solána Rowe                             </v>
      </c>
      <c r="G12" s="3" t="s">
        <v>0</v>
      </c>
      <c r="H12" t="str">
        <f>LEFTB(Sheet1!D9&amp;REPT(" ",$H$2),$H$2)</f>
        <v xml:space="preserve">SZA                     </v>
      </c>
      <c r="I12" s="3" t="s">
        <v>0</v>
      </c>
      <c r="J12" s="2" t="str">
        <f>TEXT(Sheet1!E9,"HH:MM")&amp;" "</f>
        <v xml:space="preserve">02:20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My Turn                  </v>
      </c>
      <c r="E13" s="3" t="s">
        <v>0</v>
      </c>
      <c r="F13" t="str">
        <f>" "&amp;LEFTB(Sheet1!C10&amp;REPT(" ",$F$2),$F$2)</f>
        <v xml:space="preserve"> Rob Bisel, Cody Fayne, Solána Rowe                                                                     </v>
      </c>
      <c r="G13" s="3" t="s">
        <v>0</v>
      </c>
      <c r="H13" t="str">
        <f>LEFTB(Sheet1!D10&amp;REPT(" ",$H$2),$H$2)</f>
        <v xml:space="preserve">SZA                     </v>
      </c>
      <c r="I13" s="3" t="s">
        <v>0</v>
      </c>
      <c r="J13" s="2" t="str">
        <f>TEXT(Sheet1!E10,"HH:MM")&amp;" "</f>
        <v xml:space="preserve">02:57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Crybaby                  </v>
      </c>
      <c r="E14" s="3" t="s">
        <v>0</v>
      </c>
      <c r="F14" t="str">
        <f>" "&amp;LEFTB(Sheet1!C11&amp;REPT(" ",$F$2),$F$2)</f>
        <v xml:space="preserve"> Cody Fayne, Carter Lang, Declan Miers, Solána Rowe                                                     </v>
      </c>
      <c r="G14" s="3" t="s">
        <v>0</v>
      </c>
      <c r="H14" t="str">
        <f>LEFTB(Sheet1!D11&amp;REPT(" ",$H$2),$H$2)</f>
        <v xml:space="preserve">SZA                     </v>
      </c>
      <c r="I14" s="3" t="s">
        <v>0</v>
      </c>
      <c r="J14" s="2" t="str">
        <f>TEXT(Sheet1!E11,"HH:MM")&amp;" "</f>
        <v xml:space="preserve">04:01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Kitchen                  </v>
      </c>
      <c r="E15" s="3" t="s">
        <v>0</v>
      </c>
      <c r="F15" t="str">
        <f>" "&amp;LEFTB(Sheet1!C12&amp;REPT(" ",$F$2),$F$2)</f>
        <v xml:space="preserve"> Cody Fayne, Solána Rowe                                                                                </v>
      </c>
      <c r="G15" s="3" t="s">
        <v>0</v>
      </c>
      <c r="H15" t="str">
        <f>LEFTB(Sheet1!D12&amp;REPT(" ",$H$2),$H$2)</f>
        <v xml:space="preserve">SZA                     </v>
      </c>
      <c r="I15" s="3" t="s">
        <v>0</v>
      </c>
      <c r="J15" s="2" t="str">
        <f>TEXT(Sheet1!E12,"HH:MM")&amp;" "</f>
        <v xml:space="preserve">02:52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>Get Behind Me (Interlude)</v>
      </c>
      <c r="E16" s="3" t="s">
        <v>0</v>
      </c>
      <c r="F16" t="str">
        <f>" "&amp;LEFTB(Sheet1!C13&amp;REPT(" ",$F$2),$F$2)</f>
        <v xml:space="preserve"> Solána Rowe, Michael Uzowuru                                                                           </v>
      </c>
      <c r="G16" s="3" t="s">
        <v>0</v>
      </c>
      <c r="H16" t="str">
        <f>LEFTB(Sheet1!D13&amp;REPT(" ",$H$2),$H$2)</f>
        <v xml:space="preserve">SZA                     </v>
      </c>
      <c r="I16" s="3" t="s">
        <v>0</v>
      </c>
      <c r="J16" s="2" t="str">
        <f>TEXT(Sheet1!E13,"HH:MM")&amp;" "</f>
        <v xml:space="preserve">01:48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Drive                    </v>
      </c>
      <c r="E17" s="3" t="s">
        <v>0</v>
      </c>
      <c r="F17" t="str">
        <f>" "&amp;LEFTB(Sheet1!C14&amp;REPT(" ",$F$2),$F$2)</f>
        <v xml:space="preserve"> Cody Fayne, Billy Lemos, Solána Rowe                                                                   </v>
      </c>
      <c r="G17" s="3" t="s">
        <v>0</v>
      </c>
      <c r="H17" t="str">
        <f>LEFTB(Sheet1!D14&amp;REPT(" ",$H$2),$H$2)</f>
        <v xml:space="preserve">SZA                     </v>
      </c>
      <c r="I17" s="3" t="s">
        <v>0</v>
      </c>
      <c r="J17" s="2" t="str">
        <f>TEXT(Sheet1!E14,"HH:MM")&amp;" "</f>
        <v xml:space="preserve">03:05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Another Life             </v>
      </c>
      <c r="E18" s="3" t="s">
        <v>0</v>
      </c>
      <c r="F18" t="str">
        <f>" "&amp;LEFTB(Sheet1!C15&amp;REPT(" ",$F$2),$F$2)</f>
        <v xml:space="preserve"> Dylan Wiggins, Solána Rowe, Michael Uzowuru                                                            </v>
      </c>
      <c r="G18" s="3" t="s">
        <v>0</v>
      </c>
      <c r="H18" t="str">
        <f>LEFTB(Sheet1!D15&amp;REPT(" ",$H$2),$H$2)</f>
        <v xml:space="preserve">SZA                     </v>
      </c>
      <c r="I18" s="3" t="s">
        <v>0</v>
      </c>
      <c r="J18" s="2" t="str">
        <f>TEXT(Sheet1!E15,"HH:MM")&amp;" "</f>
        <v xml:space="preserve">03:25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Saturn                   </v>
      </c>
      <c r="E19" s="3" t="s">
        <v>0</v>
      </c>
      <c r="F19" t="str">
        <f>" "&amp;LEFTB(Sheet1!C16&amp;REPT(" ",$F$2),$F$2)</f>
        <v xml:space="preserve"> Rob Bisel, Cian Ducrot, Jared Solomon, Carter Lang, Scott Zhang, Solána                  Rowe          </v>
      </c>
      <c r="G19" s="3" t="s">
        <v>0</v>
      </c>
      <c r="H19" t="str">
        <f>LEFTB(Sheet1!D16&amp;REPT(" ",$H$2),$H$2)</f>
        <v xml:space="preserve">SZA                     </v>
      </c>
      <c r="I19" s="3" t="s">
        <v>0</v>
      </c>
      <c r="J19" s="2" t="str">
        <f>TEXT(Sheet1!E16,"HH:MM")&amp;" "</f>
        <v xml:space="preserve">03:06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 xml:space="preserve">Joni                     </v>
      </c>
      <c r="E20" s="3" t="s">
        <v>0</v>
      </c>
      <c r="F20" t="str">
        <f>" "&amp;LEFTB(Sheet1!C17&amp;REPT(" ",$F$2),$F$2)</f>
        <v xml:space="preserve"> Solána Rowe, Don Toliver, Elliott Smith, Rob Bisel                                                     </v>
      </c>
      <c r="G20" s="3" t="s">
        <v>0</v>
      </c>
      <c r="H20" t="str">
        <f>LEFTB(Sheet1!D17&amp;REPT(" ",$H$2),$H$2)</f>
        <v xml:space="preserve">SZA feat. Don Toriver   </v>
      </c>
      <c r="I20" s="3" t="s">
        <v>0</v>
      </c>
      <c r="J20" s="2" t="str">
        <f>TEXT(Sheet1!E17,"HH:MM")&amp;" "</f>
        <v xml:space="preserve">02:07 </v>
      </c>
      <c r="K20" s="3" t="s">
        <v>0</v>
      </c>
    </row>
    <row r="21" spans="1:11">
      <c r="A21" t="s">
        <v>0</v>
      </c>
      <c r="B21">
        <f>Sheet1!A18</f>
        <v>17</v>
      </c>
      <c r="C21" s="3" t="s">
        <v>0</v>
      </c>
      <c r="D21" t="str">
        <f>LEFTB(Sheet1!B18&amp;REPT(" ",$D$2),$D$2)</f>
        <v xml:space="preserve">Take You Down            </v>
      </c>
      <c r="E21" s="3" t="s">
        <v>0</v>
      </c>
      <c r="F21" t="str">
        <f>" "&amp;LEFTB(Sheet1!C18&amp;REPT(" ",$F$2),$F$2)</f>
        <v xml:space="preserve"> Solána Rowe, Dexter Suhn, Cody Fayne                                                                   </v>
      </c>
      <c r="G21" s="3" t="s">
        <v>0</v>
      </c>
      <c r="H21" t="str">
        <f>LEFTB(Sheet1!D18&amp;REPT(" ",$H$2),$H$2)</f>
        <v xml:space="preserve">SZA                     </v>
      </c>
      <c r="I21" s="3" t="s">
        <v>0</v>
      </c>
      <c r="J21" s="2" t="str">
        <f>TEXT(Sheet1!E18,"HH:MM")&amp;" "</f>
        <v xml:space="preserve">02:39 </v>
      </c>
      <c r="K21" s="3" t="s">
        <v>0</v>
      </c>
    </row>
    <row r="22" spans="1:11">
      <c r="A22" t="s">
        <v>0</v>
      </c>
      <c r="B22">
        <f>Sheet1!A19</f>
        <v>18</v>
      </c>
      <c r="C22" s="3" t="s">
        <v>0</v>
      </c>
      <c r="D22" t="str">
        <f>LEFTB(Sheet1!B19&amp;REPT(" ",$D$2),$D$2)</f>
        <v xml:space="preserve">Open Arms (Just SZA)     </v>
      </c>
      <c r="E22" s="3" t="s">
        <v>0</v>
      </c>
      <c r="F22" t="str">
        <f>" "&amp;LEFTB(Sheet1!C19&amp;REPT(" ",$F$2),$F$2)</f>
        <v xml:space="preserve"> Rob Bisel, Douglas Ford, Teo Halm, Jacques Webster, Solána Rowe, Michael                  Uzowuru      </v>
      </c>
      <c r="G22" s="3" t="s">
        <v>0</v>
      </c>
      <c r="H22" t="str">
        <f>LEFTB(Sheet1!D19&amp;REPT(" ",$H$2),$H$2)</f>
        <v xml:space="preserve">SZA                     </v>
      </c>
      <c r="I22" s="3" t="s">
        <v>0</v>
      </c>
      <c r="J22" s="2" t="str">
        <f>TEXT(Sheet1!E19,"HH:MM")&amp;" "</f>
        <v xml:space="preserve">03:35 </v>
      </c>
      <c r="K22" s="3" t="s">
        <v>0</v>
      </c>
    </row>
    <row r="23" spans="1:11">
      <c r="A23" t="s">
        <v>0</v>
      </c>
      <c r="B23">
        <f>Sheet1!A20</f>
        <v>19</v>
      </c>
      <c r="C23" s="3" t="s">
        <v>0</v>
      </c>
      <c r="D23" t="str">
        <f>LEFTB(Sheet1!B20&amp;REPT(" ",$D$2),$D$2)</f>
        <v xml:space="preserve">PSA                      </v>
      </c>
      <c r="E23" s="3" t="s">
        <v>0</v>
      </c>
      <c r="F23" t="str">
        <f>" "&amp;LEFTB(Sheet1!C20&amp;REPT(" ",$F$2),$F$2)</f>
        <v xml:space="preserve"> Solána Rowe, Rob Bisel, Will Miller, Carter Lang                                                       </v>
      </c>
      <c r="G23" s="3" t="s">
        <v>0</v>
      </c>
      <c r="H23" t="str">
        <f>LEFTB(Sheet1!D20&amp;REPT(" ",$H$2),$H$2)</f>
        <v xml:space="preserve">SZA                     </v>
      </c>
      <c r="I23" s="3" t="s">
        <v>0</v>
      </c>
      <c r="J23" s="2" t="str">
        <f>TEXT(Sheet1!E20,"HH:MM")&amp;" "</f>
        <v xml:space="preserve">01:39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  <row r="31" spans="1:11">
      <c r="A31" t="s">
        <v>0</v>
      </c>
      <c r="B31">
        <f>Sheet1!A28</f>
        <v>0</v>
      </c>
      <c r="C31" s="3" t="s">
        <v>0</v>
      </c>
      <c r="D31" t="str">
        <f>LEFTB(Sheet1!B28&amp;REPT(" ",$D$2),$D$2)</f>
        <v xml:space="preserve">                         </v>
      </c>
      <c r="E31" s="3" t="s">
        <v>0</v>
      </c>
      <c r="F31" t="str">
        <f>" "&amp;LEFTB(Sheet1!C28&amp;REPT(" ",$F$2),$F$2)</f>
        <v xml:space="preserve">                                                                                                         </v>
      </c>
      <c r="G31" s="3" t="s">
        <v>0</v>
      </c>
      <c r="H31" t="str">
        <f>LEFTB(Sheet1!D28&amp;REPT(" ",$H$2),$H$2)</f>
        <v xml:space="preserve">                        </v>
      </c>
      <c r="I31" s="3" t="s">
        <v>0</v>
      </c>
      <c r="J31" s="2" t="str">
        <f>TEXT(Sheet1!E28,"HH:MM")&amp;" "</f>
        <v xml:space="preserve">00:00 </v>
      </c>
      <c r="K31" s="3" t="s">
        <v>0</v>
      </c>
    </row>
    <row r="32" spans="1:11">
      <c r="A32" t="s">
        <v>0</v>
      </c>
      <c r="B32">
        <f>Sheet1!A29</f>
        <v>0</v>
      </c>
      <c r="C32" s="3" t="s">
        <v>0</v>
      </c>
      <c r="D32" t="str">
        <f>LEFTB(Sheet1!B29&amp;REPT(" ",$D$2),$D$2)</f>
        <v xml:space="preserve">                         </v>
      </c>
      <c r="E32" s="3" t="s">
        <v>0</v>
      </c>
      <c r="F32" t="str">
        <f>" "&amp;LEFTB(Sheet1!C29&amp;REPT(" ",$F$2),$F$2)</f>
        <v xml:space="preserve">                                                                                                         </v>
      </c>
      <c r="G32" s="3" t="s">
        <v>0</v>
      </c>
      <c r="H32" t="str">
        <f>LEFTB(Sheet1!D29&amp;REPT(" ",$H$2),$H$2)</f>
        <v xml:space="preserve">                        </v>
      </c>
      <c r="I32" s="3" t="s">
        <v>0</v>
      </c>
      <c r="J32" s="2" t="str">
        <f>TEXT(Sheet1!E29,"HH:MM")&amp;" "</f>
        <v xml:space="preserve">00:00 </v>
      </c>
      <c r="K32" s="3" t="s">
        <v>0</v>
      </c>
    </row>
    <row r="33" spans="1:11">
      <c r="A33" t="s">
        <v>0</v>
      </c>
      <c r="B33">
        <f>Sheet1!A30</f>
        <v>0</v>
      </c>
      <c r="C33" s="3" t="s">
        <v>0</v>
      </c>
      <c r="D33" t="str">
        <f>LEFTB(Sheet1!B30&amp;REPT(" ",$D$2),$D$2)</f>
        <v xml:space="preserve">                         </v>
      </c>
      <c r="E33" s="3" t="s">
        <v>0</v>
      </c>
      <c r="F33" t="str">
        <f>" "&amp;LEFTB(Sheet1!C30&amp;REPT(" ",$F$2),$F$2)</f>
        <v xml:space="preserve">                                                                                                         </v>
      </c>
      <c r="G33" s="3" t="s">
        <v>0</v>
      </c>
      <c r="H33" t="str">
        <f>LEFTB(Sheet1!D30&amp;REPT(" ",$H$2),$H$2)</f>
        <v xml:space="preserve">                        </v>
      </c>
      <c r="I33" s="3" t="s">
        <v>0</v>
      </c>
      <c r="J33" s="2" t="str">
        <f>TEXT(Sheet1!E30,"HH:MM")&amp;" "</f>
        <v xml:space="preserve">00:00 </v>
      </c>
      <c r="K33" s="3" t="s">
        <v>0</v>
      </c>
    </row>
    <row r="34" spans="1:11">
      <c r="A34" t="s">
        <v>0</v>
      </c>
      <c r="B34">
        <f>Sheet1!A31</f>
        <v>0</v>
      </c>
      <c r="C34" s="3" t="s">
        <v>0</v>
      </c>
      <c r="D34" t="str">
        <f>LEFTB(Sheet1!B31&amp;REPT(" ",$D$2),$D$2)</f>
        <v xml:space="preserve">                         </v>
      </c>
      <c r="E34" s="3" t="s">
        <v>0</v>
      </c>
      <c r="F34" t="str">
        <f>" "&amp;LEFTB(Sheet1!C31&amp;REPT(" ",$F$2),$F$2)</f>
        <v xml:space="preserve">                                                                                                         </v>
      </c>
      <c r="G34" s="3" t="s">
        <v>0</v>
      </c>
      <c r="H34" t="str">
        <f>LEFTB(Sheet1!D31&amp;REPT(" ",$H$2),$H$2)</f>
        <v xml:space="preserve">                        </v>
      </c>
      <c r="I34" s="3" t="s">
        <v>0</v>
      </c>
      <c r="J34" s="2" t="str">
        <f>TEXT(Sheet1!E31,"HH:MM")&amp;" "</f>
        <v xml:space="preserve">00:00 </v>
      </c>
      <c r="K34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3594-03F2-4253-9C2A-465DCDF28FC0}">
  <dimension ref="A1:E20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24.6328125" bestFit="1" customWidth="1"/>
    <col min="3" max="3" width="80.7265625" bestFit="1" customWidth="1"/>
    <col min="4" max="4" width="23.81640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 s="7">
        <v>45658</v>
      </c>
      <c r="B2" s="6" t="s">
        <v>8</v>
      </c>
      <c r="C2" s="6" t="s">
        <v>9</v>
      </c>
      <c r="D2" s="6" t="s">
        <v>10</v>
      </c>
      <c r="E2" s="5">
        <v>0.1125</v>
      </c>
    </row>
    <row r="3" spans="1:5">
      <c r="A3" s="7">
        <v>45659</v>
      </c>
      <c r="B3" s="6" t="s">
        <v>11</v>
      </c>
      <c r="C3" s="6" t="s">
        <v>12</v>
      </c>
      <c r="D3" s="6" t="s">
        <v>10</v>
      </c>
      <c r="E3" s="5">
        <v>0.11597222222222223</v>
      </c>
    </row>
    <row r="4" spans="1:5">
      <c r="A4" s="7">
        <v>45660</v>
      </c>
      <c r="B4" s="6" t="s">
        <v>13</v>
      </c>
      <c r="C4" s="6" t="s">
        <v>14</v>
      </c>
      <c r="D4" s="6" t="s">
        <v>15</v>
      </c>
      <c r="E4" s="5">
        <v>0.19305555555555556</v>
      </c>
    </row>
    <row r="5" spans="1:5">
      <c r="A5" s="7">
        <v>45661</v>
      </c>
      <c r="B5" s="6" t="s">
        <v>16</v>
      </c>
      <c r="C5" s="6" t="s">
        <v>17</v>
      </c>
      <c r="D5" s="6" t="s">
        <v>10</v>
      </c>
      <c r="E5" s="5">
        <v>0.15069444444444444</v>
      </c>
    </row>
    <row r="6" spans="1:5">
      <c r="A6" s="7">
        <v>45662</v>
      </c>
      <c r="B6" s="6" t="s">
        <v>18</v>
      </c>
      <c r="C6" s="6" t="s">
        <v>19</v>
      </c>
      <c r="D6" s="6" t="s">
        <v>10</v>
      </c>
      <c r="E6" s="5">
        <v>0.125</v>
      </c>
    </row>
    <row r="7" spans="1:5">
      <c r="A7" s="7">
        <v>45663</v>
      </c>
      <c r="B7" s="6" t="s">
        <v>20</v>
      </c>
      <c r="C7" s="6" t="s">
        <v>21</v>
      </c>
      <c r="D7" s="6" t="s">
        <v>10</v>
      </c>
      <c r="E7" s="5">
        <v>0.10625</v>
      </c>
    </row>
    <row r="8" spans="1:5">
      <c r="A8" s="7">
        <v>45664</v>
      </c>
      <c r="B8" s="6" t="s">
        <v>22</v>
      </c>
      <c r="C8" s="6" t="s">
        <v>23</v>
      </c>
      <c r="D8" s="6" t="s">
        <v>10</v>
      </c>
      <c r="E8" s="5">
        <v>0.12847222222222221</v>
      </c>
    </row>
    <row r="9" spans="1:5">
      <c r="A9" s="7">
        <v>45665</v>
      </c>
      <c r="B9" s="6" t="s">
        <v>24</v>
      </c>
      <c r="C9" s="6" t="s">
        <v>25</v>
      </c>
      <c r="D9" s="6" t="s">
        <v>10</v>
      </c>
      <c r="E9" s="5">
        <v>9.7222222222222224E-2</v>
      </c>
    </row>
    <row r="10" spans="1:5">
      <c r="A10" s="7">
        <v>45666</v>
      </c>
      <c r="B10" s="6" t="s">
        <v>26</v>
      </c>
      <c r="C10" s="6" t="s">
        <v>27</v>
      </c>
      <c r="D10" s="6" t="s">
        <v>10</v>
      </c>
      <c r="E10" s="5">
        <v>0.12291666666666666</v>
      </c>
    </row>
    <row r="11" spans="1:5">
      <c r="A11" s="7">
        <v>45667</v>
      </c>
      <c r="B11" s="6" t="s">
        <v>28</v>
      </c>
      <c r="C11" s="6" t="s">
        <v>29</v>
      </c>
      <c r="D11" s="6" t="s">
        <v>10</v>
      </c>
      <c r="E11" s="5">
        <v>0.1673611111111111</v>
      </c>
    </row>
    <row r="12" spans="1:5">
      <c r="A12" s="7">
        <v>45668</v>
      </c>
      <c r="B12" s="6" t="s">
        <v>30</v>
      </c>
      <c r="C12" s="6" t="s">
        <v>31</v>
      </c>
      <c r="D12" s="6" t="s">
        <v>10</v>
      </c>
      <c r="E12" s="5">
        <v>0.11944444444444445</v>
      </c>
    </row>
    <row r="13" spans="1:5">
      <c r="A13" s="7">
        <v>45669</v>
      </c>
      <c r="B13" s="6" t="s">
        <v>32</v>
      </c>
      <c r="C13" s="6" t="s">
        <v>9</v>
      </c>
      <c r="D13" s="6" t="s">
        <v>10</v>
      </c>
      <c r="E13" s="5">
        <v>7.4999999999999997E-2</v>
      </c>
    </row>
    <row r="14" spans="1:5">
      <c r="A14" s="7">
        <v>45670</v>
      </c>
      <c r="B14" s="6" t="s">
        <v>33</v>
      </c>
      <c r="C14" s="6" t="s">
        <v>34</v>
      </c>
      <c r="D14" s="6" t="s">
        <v>10</v>
      </c>
      <c r="E14" s="5">
        <v>0.12847222222222221</v>
      </c>
    </row>
    <row r="15" spans="1:5">
      <c r="A15" s="7">
        <v>45671</v>
      </c>
      <c r="B15" s="6" t="s">
        <v>35</v>
      </c>
      <c r="C15" s="6" t="s">
        <v>36</v>
      </c>
      <c r="D15" s="6" t="s">
        <v>10</v>
      </c>
      <c r="E15" s="5">
        <v>0.1423611111111111</v>
      </c>
    </row>
    <row r="16" spans="1:5">
      <c r="A16" s="7">
        <v>45672</v>
      </c>
      <c r="B16" s="6" t="s">
        <v>37</v>
      </c>
      <c r="C16" s="6" t="s">
        <v>38</v>
      </c>
      <c r="D16" s="6" t="s">
        <v>10</v>
      </c>
      <c r="E16" s="5">
        <v>0.12916666666666668</v>
      </c>
    </row>
    <row r="17" spans="1:5">
      <c r="A17" s="7">
        <v>45673</v>
      </c>
      <c r="B17" s="6" t="s">
        <v>39</v>
      </c>
      <c r="C17" s="6" t="s">
        <v>40</v>
      </c>
      <c r="D17" s="6" t="s">
        <v>41</v>
      </c>
      <c r="E17" s="5">
        <v>8.819444444444445E-2</v>
      </c>
    </row>
    <row r="18" spans="1:5">
      <c r="A18" s="7">
        <v>45674</v>
      </c>
      <c r="B18" s="6" t="s">
        <v>42</v>
      </c>
      <c r="C18" s="6" t="s">
        <v>43</v>
      </c>
      <c r="D18" s="6" t="s">
        <v>10</v>
      </c>
      <c r="E18" s="5">
        <v>0.11041666666666666</v>
      </c>
    </row>
    <row r="19" spans="1:5">
      <c r="A19" s="7">
        <v>45675</v>
      </c>
      <c r="B19" s="6" t="s">
        <v>44</v>
      </c>
      <c r="C19" s="6" t="s">
        <v>45</v>
      </c>
      <c r="D19" s="6" t="s">
        <v>10</v>
      </c>
      <c r="E19" s="5">
        <v>0.14930555555555555</v>
      </c>
    </row>
    <row r="20" spans="1:5">
      <c r="A20" s="7">
        <v>45676</v>
      </c>
      <c r="B20" s="6" t="s">
        <v>46</v>
      </c>
      <c r="C20" s="6" t="s">
        <v>47</v>
      </c>
      <c r="D20" s="6" t="s">
        <v>10</v>
      </c>
      <c r="E20" s="5">
        <v>6.8750000000000006E-2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E6EEC-D660-47B1-94B3-BC3F2CD9C30C}">
  <dimension ref="B2:E31"/>
  <sheetViews>
    <sheetView workbookViewId="0"/>
  </sheetViews>
  <sheetFormatPr defaultRowHeight="19.8"/>
  <cols>
    <col min="1" max="1" width="10.81640625" bestFit="1" customWidth="1"/>
    <col min="2" max="2" width="25.6328125" bestFit="1" customWidth="1"/>
    <col min="3" max="3" width="80.7265625" bestFit="1" customWidth="1"/>
    <col min="4" max="4" width="42.6328125" bestFit="1" customWidth="1"/>
    <col min="5" max="5" width="7.542968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  <row r="13" spans="2:5">
      <c r="B13" s="6"/>
      <c r="C13" s="6"/>
      <c r="D13" s="6"/>
      <c r="E13" s="5"/>
    </row>
    <row r="14" spans="2:5">
      <c r="B14" s="6"/>
      <c r="C14" s="6"/>
      <c r="D14" s="6"/>
      <c r="E14" s="5"/>
    </row>
    <row r="15" spans="2:5">
      <c r="B15" s="6"/>
      <c r="C15" s="6"/>
      <c r="D15" s="6"/>
      <c r="E15" s="5"/>
    </row>
    <row r="16" spans="2:5">
      <c r="B16" s="6"/>
      <c r="C16" s="6"/>
      <c r="D16" s="6"/>
      <c r="E16" s="5"/>
    </row>
    <row r="17" spans="2:5">
      <c r="B17" s="6"/>
      <c r="C17" s="6"/>
      <c r="D17" s="6"/>
      <c r="E17" s="5"/>
    </row>
    <row r="18" spans="2:5">
      <c r="B18" s="6"/>
      <c r="C18" s="6"/>
      <c r="D18" s="6"/>
      <c r="E18" s="5"/>
    </row>
    <row r="19" spans="2:5">
      <c r="B19" s="6"/>
      <c r="C19" s="6"/>
      <c r="D19" s="6"/>
      <c r="E19" s="5"/>
    </row>
    <row r="20" spans="2:5">
      <c r="B20" s="6"/>
      <c r="C20" s="6"/>
      <c r="D20" s="6"/>
      <c r="E20" s="5"/>
    </row>
    <row r="21" spans="2:5">
      <c r="B21" s="6"/>
      <c r="C21" s="6"/>
      <c r="D21" s="6"/>
      <c r="E21" s="5"/>
    </row>
    <row r="22" spans="2:5">
      <c r="B22" s="6"/>
      <c r="C22" s="6"/>
      <c r="D22" s="6"/>
      <c r="E22" s="5"/>
    </row>
    <row r="23" spans="2:5">
      <c r="B23" s="6"/>
      <c r="C23" s="6"/>
      <c r="D23" s="6"/>
      <c r="E23" s="5"/>
    </row>
    <row r="24" spans="2:5">
      <c r="B24" s="6"/>
      <c r="C24" s="6"/>
      <c r="D24" s="6"/>
      <c r="E24" s="5"/>
    </row>
    <row r="25" spans="2:5">
      <c r="B25" s="6"/>
      <c r="C25" s="6"/>
      <c r="D25" s="6"/>
      <c r="E25" s="5"/>
    </row>
    <row r="26" spans="2:5">
      <c r="B26" s="6"/>
      <c r="C26" s="6"/>
      <c r="D26" s="6"/>
      <c r="E26" s="5"/>
    </row>
    <row r="27" spans="2:5">
      <c r="B27" s="6"/>
      <c r="C27" s="6"/>
      <c r="D27" s="6"/>
      <c r="E27" s="5"/>
    </row>
    <row r="28" spans="2:5">
      <c r="B28" s="6"/>
      <c r="C28" s="6"/>
      <c r="D28" s="6"/>
      <c r="E28" s="5"/>
    </row>
    <row r="29" spans="2:5">
      <c r="B29" s="6"/>
      <c r="C29" s="6"/>
      <c r="D29" s="6"/>
      <c r="E29" s="5"/>
    </row>
    <row r="30" spans="2:5">
      <c r="B30" s="6"/>
      <c r="C30" s="6"/>
      <c r="D30" s="6"/>
      <c r="E30" s="5"/>
    </row>
    <row r="31" spans="2:5">
      <c r="B31" s="6"/>
      <c r="C31" s="6"/>
      <c r="D31" s="6"/>
      <c r="E31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9F5F9-3C4F-4F38-821F-22FCE9E73653}">
  <dimension ref="E2:E12"/>
  <sheetViews>
    <sheetView workbookViewId="0"/>
  </sheetViews>
  <sheetFormatPr defaultRowHeight="19.8"/>
  <cols>
    <col min="1" max="1" width="10.81640625" bestFit="1" customWidth="1"/>
    <col min="2" max="2" width="18.81640625" bestFit="1" customWidth="1"/>
    <col min="3" max="3" width="50" bestFit="1" customWidth="1"/>
    <col min="4" max="4" width="17.179687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(77)</vt:lpstr>
      <vt:lpstr>テーブル 5 (75)</vt:lpstr>
      <vt:lpstr>テーブル 5 (67)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2025-10-05T06:06:51Z</dcterms:modified>
</cp:coreProperties>
</file>