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2819F66C-FD2B-4520-AF46-7B9D2D2B3169}" xr6:coauthVersionLast="47" xr6:coauthVersionMax="47" xr10:uidLastSave="{00000000-0000-0000-0000-000000000000}"/>
  <bookViews>
    <workbookView xWindow="0" yWindow="570" windowWidth="27210" windowHeight="14910" activeTab="1" xr2:uid="{00000000-000D-0000-FFFF-FFFF00000000}"/>
  </bookViews>
  <sheets>
    <sheet name="Sheet1" sheetId="1" r:id="rId1"/>
    <sheet name="Sheet2" sheetId="2" r:id="rId2"/>
    <sheet name="テーブル 5 (9)" sheetId="44" r:id="rId3"/>
    <sheet name="テーブル 5 (7)" sheetId="43" r:id="rId4"/>
    <sheet name="テーブル 5 (5)" sheetId="42" r:id="rId5"/>
  </sheets>
  <definedNames>
    <definedName name="ExternalData_1" localSheetId="2" hidden="1">'テーブル 5 (9)'!$A$1:$E$11</definedName>
    <definedName name="ExternalData_2" localSheetId="0" hidden="1">Sheet1!$A$1:$E$11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82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83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84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85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86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87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88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<sst xmlns="http://schemas.openxmlformats.org/spreadsheetml/2006/main" count="240" uniqueCount="21">
  <si>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</si>
  <si>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</si>
  <si>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</si>
  <si>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</si>
  <si>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</si>
  <si>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</si>
  <si>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</si>
  <si>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</si>
  <si>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Love Self</t>
  </si>
  <si>
    <t>Shaé Universe</t>
  </si>
  <si>
    <t>Summertime</t>
  </si>
  <si>
    <t>LOML L</t>
  </si>
  <si>
    <t>Oh, Wait...</t>
  </si>
  <si>
    <t>Warzone (Interlude</t>
  </si>
  <si>
    <t>What's Luv?</t>
  </si>
  <si>
    <t>Passenger Princess</t>
  </si>
  <si>
    <t>No Capacity</t>
  </si>
  <si>
    <t>More Than Enough</t>
  </si>
  <si>
    <t>Shaé Universe, Lalah Hathaway</t>
  </si>
  <si>
    <t>Shaé Universe feat. Lalah Hathaway</t>
  </si>
  <si>
    <t>Sincerely,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</si>
</sst>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0" xr16:uid="{1F104230-1D3A-434F-B29F-1A0288CD8D7E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8" xr16:uid="{D88B7EC4-C55B-4B1F-BCCB-29BF4A20127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3542D9-CF04-48F1-A285-5E012451833D}" name="テーブル_5__95" displayName="テーブル_5__95" ref="A1:E11" tableType="queryTable" totalsRowShown="0">
  <autoFilter ref="A1:E11" xr:uid="{DF3542D9-CF04-48F1-A285-5E012451833D}"/>
  <tableColumns count="5">
    <tableColumn id="1" xr3:uid="{593F5B40-7CF5-46EA-B2C4-BADB9E2F1887}" uniqueName="1" name="Column1" queryTableFieldId="1"/>
    <tableColumn id="2" xr3:uid="{58BCD9D1-FEA5-4727-8832-914B385470EF}" uniqueName="2" name="Title" queryTableFieldId="2" dataDxfId="3"/>
    <tableColumn id="3" xr3:uid="{C1A211FF-F1CC-4DBA-A75E-2C7F3F006EFC}" uniqueName="3" name="Composer" queryTableFieldId="3" dataDxfId="2"/>
    <tableColumn id="4" xr3:uid="{A8F590A7-8D28-4CC3-8CCF-72B4E962B96A}" uniqueName="4" name="Performer" queryTableFieldId="4" dataDxfId="1"/>
    <tableColumn id="5" xr3:uid="{1B87CAA0-68C2-4AF6-9672-1413A196B870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414E5E-2E22-453F-B9E0-828FAB1E95CB}" name="テーブル_5__9" displayName="テーブル_5__9" ref="A1:E11" tableType="queryTable" totalsRowShown="0">
  <autoFilter ref="A1:E11" xr:uid="{F3414E5E-2E22-453F-B9E0-828FAB1E95CB}"/>
  <tableColumns count="5">
    <tableColumn id="1" xr3:uid="{0F391F47-BC4C-4361-8FCF-9E3483912F1D}" uniqueName="1" name="Column1" queryTableFieldId="1"/>
    <tableColumn id="2" xr3:uid="{0B6BB969-76FD-45CF-8CD3-4E629618AF79}" uniqueName="2" name="Title" queryTableFieldId="2" dataDxfId="7"/>
    <tableColumn id="3" xr3:uid="{6921DA75-5B80-4403-BE45-E4AFB9BBA618}" uniqueName="3" name="Composer" queryTableFieldId="3" dataDxfId="6"/>
    <tableColumn id="4" xr3:uid="{4C0D7B5B-278B-448D-80D4-88584D416A2D}" uniqueName="4" name="Performer" queryTableFieldId="4" dataDxfId="5"/>
    <tableColumn id="5" xr3:uid="{90C3102C-EFE0-46D3-8417-0C50ED372654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sqref="A1:XFD1048576"/>
    </sheetView>
  </sheetViews>
  <sheetFormatPr defaultRowHeight="19.5"/>
  <cols>
    <col min="1" max="1" width="11" bestFit="1" customWidth="1"/>
    <col min="2" max="2" width="18.5546875" bestFit="1" customWidth="1"/>
    <col min="3" max="3" width="29.44140625" bestFit="1" customWidth="1"/>
    <col min="4" max="4" width="33.777343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9</v>
      </c>
      <c r="E2" s="5">
        <v>0.1111111111111111</v>
      </c>
    </row>
    <row r="3" spans="1:5">
      <c r="A3">
        <v>2</v>
      </c>
      <c r="B3" s="6" t="s">
        <v>10</v>
      </c>
      <c r="C3" s="6" t="s">
        <v>9</v>
      </c>
      <c r="D3" s="6" t="s">
        <v>9</v>
      </c>
      <c r="E3" s="5">
        <v>0.14791666666666667</v>
      </c>
    </row>
    <row r="4" spans="1:5">
      <c r="A4">
        <v>3</v>
      </c>
      <c r="B4" s="6" t="s">
        <v>11</v>
      </c>
      <c r="C4" s="6" t="s">
        <v>9</v>
      </c>
      <c r="D4" s="6" t="s">
        <v>9</v>
      </c>
      <c r="E4" s="5">
        <v>0.125</v>
      </c>
    </row>
    <row r="5" spans="1:5">
      <c r="A5">
        <v>4</v>
      </c>
      <c r="B5" s="6" t="s">
        <v>12</v>
      </c>
      <c r="C5" s="6" t="s">
        <v>9</v>
      </c>
      <c r="D5" s="6" t="s">
        <v>9</v>
      </c>
      <c r="E5" s="5">
        <v>0.1736111111111111</v>
      </c>
    </row>
    <row r="6" spans="1:5">
      <c r="A6">
        <v>5</v>
      </c>
      <c r="B6" s="6" t="s">
        <v>13</v>
      </c>
      <c r="C6" s="6" t="s">
        <v>9</v>
      </c>
      <c r="D6" s="6" t="s">
        <v>9</v>
      </c>
      <c r="E6" s="5">
        <v>0.11388888888888889</v>
      </c>
    </row>
    <row r="7" spans="1:5">
      <c r="A7">
        <v>6</v>
      </c>
      <c r="B7" s="6" t="s">
        <v>14</v>
      </c>
      <c r="C7" s="6" t="s">
        <v>9</v>
      </c>
      <c r="D7" s="6" t="s">
        <v>9</v>
      </c>
      <c r="E7" s="5">
        <v>0.11527777777777778</v>
      </c>
    </row>
    <row r="8" spans="1:5">
      <c r="A8">
        <v>7</v>
      </c>
      <c r="B8" s="6" t="s">
        <v>15</v>
      </c>
      <c r="C8" s="6" t="s">
        <v>9</v>
      </c>
      <c r="D8" s="6" t="s">
        <v>9</v>
      </c>
      <c r="E8" s="5">
        <v>0.15069444444444444</v>
      </c>
    </row>
    <row r="9" spans="1:5">
      <c r="A9">
        <v>8</v>
      </c>
      <c r="B9" s="6" t="s">
        <v>16</v>
      </c>
      <c r="C9" s="6" t="s">
        <v>9</v>
      </c>
      <c r="D9" s="6" t="s">
        <v>9</v>
      </c>
      <c r="E9" s="5">
        <v>0.11805555555555555</v>
      </c>
    </row>
    <row r="10" spans="1:5">
      <c r="A10">
        <v>9</v>
      </c>
      <c r="B10" s="6" t="s">
        <v>17</v>
      </c>
      <c r="C10" s="6" t="s">
        <v>18</v>
      </c>
      <c r="D10" s="6" t="s">
        <v>19</v>
      </c>
      <c r="E10" s="5">
        <v>0.14305555555555555</v>
      </c>
    </row>
    <row r="11" spans="1:5">
      <c r="A11">
        <v>10</v>
      </c>
      <c r="B11" s="6" t="s">
        <v>20</v>
      </c>
      <c r="C11" s="6" t="s">
        <v>9</v>
      </c>
      <c r="D11" s="6" t="s">
        <v>9</v>
      </c>
      <c r="E11" s="5">
        <v>0.11597222222222223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4" sqref="A3:K14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38.21875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18</v>
      </c>
      <c r="F2" s="1">
        <f t="array" ref="F2">MAX(LENB(Sheet1!C1:'Sheet1'!C30))</f>
        <v>29</v>
      </c>
      <c r="H2" s="1">
        <f t="array" ref="H2">MAX(LENB(Sheet1!D1:'Sheet1'!D30))</f>
        <v>34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</v>
      </c>
      <c r="E3" s="3" t="s">
        <v>0</v>
      </c>
      <c r="F3" t="str">
        <f>" "&amp;LEFTB("Composers"&amp;REPT(" ",$F$2-1),$F$2-1)</f>
        <v xml:space="preserve"> Composers                   </v>
      </c>
      <c r="G3" s="3" t="s">
        <v>0</v>
      </c>
      <c r="H3" t="str">
        <f>" "&amp;LEFTB("Performer"&amp;REPT(" ",$H$2),$H$2)</f>
        <v xml:space="preserve"> Performer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 </v>
      </c>
      <c r="E4" s="3" t="s">
        <v>0</v>
      </c>
      <c r="F4" t="str">
        <f>" "&amp;REPT("-",$F$2)&amp;" "</f>
        <v xml:space="preserve"> ----------------------------- </v>
      </c>
      <c r="G4" s="3" t="s">
        <v>0</v>
      </c>
      <c r="H4" t="str">
        <f>" "&amp;REPT("-",$H$2)&amp;" "</f>
        <v xml:space="preserve"> 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Love Self         </v>
      </c>
      <c r="E5" s="3" t="s">
        <v>0</v>
      </c>
      <c r="F5" t="str">
        <f>" "&amp;LEFTB(Sheet1!C2&amp;REPT(" ",$F$2),$F$2)</f>
        <v xml:space="preserve"> Shaé Universe               </v>
      </c>
      <c r="G5" s="3" t="s">
        <v>0</v>
      </c>
      <c r="H5" t="str">
        <f>LEFTB(Sheet1!D2&amp;REPT(" ",$H$2),$H$2)</f>
        <v xml:space="preserve">Shaé Universe                    </v>
      </c>
      <c r="I5" s="3" t="s">
        <v>0</v>
      </c>
      <c r="J5" s="2" t="str">
        <f>TEXT(Sheet1!E2,"HH:MM")&amp;" "</f>
        <v xml:space="preserve">02:40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Summertime        </v>
      </c>
      <c r="E6" s="3" t="s">
        <v>0</v>
      </c>
      <c r="F6" t="str">
        <f>" "&amp;LEFTB(Sheet1!C3&amp;REPT(" ",$F$2),$F$2)</f>
        <v xml:space="preserve"> Shaé Universe               </v>
      </c>
      <c r="G6" s="3" t="s">
        <v>0</v>
      </c>
      <c r="H6" t="str">
        <f>LEFTB(Sheet1!D3&amp;REPT(" ",$H$2),$H$2)</f>
        <v xml:space="preserve">Shaé Universe                    </v>
      </c>
      <c r="I6" s="3" t="s">
        <v>0</v>
      </c>
      <c r="J6" s="2" t="str">
        <f>TEXT(Sheet1!E3,"HH:MM")&amp;" "</f>
        <v xml:space="preserve">03:33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LOML L            </v>
      </c>
      <c r="E7" s="3" t="s">
        <v>0</v>
      </c>
      <c r="F7" t="str">
        <f>" "&amp;LEFTB(Sheet1!C4&amp;REPT(" ",$F$2),$F$2)</f>
        <v xml:space="preserve"> Shaé Universe               </v>
      </c>
      <c r="G7" s="3" t="s">
        <v>0</v>
      </c>
      <c r="H7" t="str">
        <f>LEFTB(Sheet1!D4&amp;REPT(" ",$H$2),$H$2)</f>
        <v xml:space="preserve">Shaé Universe                    </v>
      </c>
      <c r="I7" s="3" t="s">
        <v>0</v>
      </c>
      <c r="J7" s="2" t="str">
        <f>TEXT(Sheet1!E4,"HH:MM")&amp;" "</f>
        <v xml:space="preserve">03:00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Oh, Wait...       </v>
      </c>
      <c r="E8" s="3" t="s">
        <v>0</v>
      </c>
      <c r="F8" t="str">
        <f>" "&amp;LEFTB(Sheet1!C5&amp;REPT(" ",$F$2),$F$2)</f>
        <v xml:space="preserve"> Shaé Universe               </v>
      </c>
      <c r="G8" s="3" t="s">
        <v>0</v>
      </c>
      <c r="H8" t="str">
        <f>LEFTB(Sheet1!D5&amp;REPT(" ",$H$2),$H$2)</f>
        <v xml:space="preserve">Shaé Universe                    </v>
      </c>
      <c r="I8" s="3" t="s">
        <v>0</v>
      </c>
      <c r="J8" s="2" t="str">
        <f>TEXT(Sheet1!E5,"HH:MM")&amp;" "</f>
        <v xml:space="preserve">04:10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>Warzone (Interlude</v>
      </c>
      <c r="E9" s="3" t="s">
        <v>0</v>
      </c>
      <c r="F9" t="str">
        <f>" "&amp;LEFTB(Sheet1!C6&amp;REPT(" ",$F$2),$F$2)</f>
        <v xml:space="preserve"> Shaé Universe               </v>
      </c>
      <c r="G9" s="3" t="s">
        <v>0</v>
      </c>
      <c r="H9" t="str">
        <f>LEFTB(Sheet1!D6&amp;REPT(" ",$H$2),$H$2)</f>
        <v xml:space="preserve">Shaé Universe                    </v>
      </c>
      <c r="I9" s="3" t="s">
        <v>0</v>
      </c>
      <c r="J9" s="2" t="str">
        <f>TEXT(Sheet1!E6,"HH:MM")&amp;" "</f>
        <v xml:space="preserve">02:44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What's Luv?       </v>
      </c>
      <c r="E10" s="3" t="s">
        <v>0</v>
      </c>
      <c r="F10" t="str">
        <f>" "&amp;LEFTB(Sheet1!C7&amp;REPT(" ",$F$2),$F$2)</f>
        <v xml:space="preserve"> Shaé Universe               </v>
      </c>
      <c r="G10" s="3" t="s">
        <v>0</v>
      </c>
      <c r="H10" t="str">
        <f>LEFTB(Sheet1!D7&amp;REPT(" ",$H$2),$H$2)</f>
        <v xml:space="preserve">Shaé Universe                    </v>
      </c>
      <c r="I10" s="3" t="s">
        <v>0</v>
      </c>
      <c r="J10" s="2" t="str">
        <f>TEXT(Sheet1!E7,"HH:MM")&amp;" "</f>
        <v xml:space="preserve">02:46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Passenger Princess</v>
      </c>
      <c r="E11" s="3" t="s">
        <v>0</v>
      </c>
      <c r="F11" t="str">
        <f>" "&amp;LEFTB(Sheet1!C8&amp;REPT(" ",$F$2),$F$2)</f>
        <v xml:space="preserve"> Shaé Universe               </v>
      </c>
      <c r="G11" s="3" t="s">
        <v>0</v>
      </c>
      <c r="H11" t="str">
        <f>LEFTB(Sheet1!D8&amp;REPT(" ",$H$2),$H$2)</f>
        <v xml:space="preserve">Shaé Universe                    </v>
      </c>
      <c r="I11" s="3" t="s">
        <v>0</v>
      </c>
      <c r="J11" s="2" t="str">
        <f>TEXT(Sheet1!E8,"HH:MM")&amp;" "</f>
        <v xml:space="preserve">03:37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No Capacity       </v>
      </c>
      <c r="E12" s="3" t="s">
        <v>0</v>
      </c>
      <c r="F12" t="str">
        <f>" "&amp;LEFTB(Sheet1!C9&amp;REPT(" ",$F$2),$F$2)</f>
        <v xml:space="preserve"> Shaé Universe               </v>
      </c>
      <c r="G12" s="3" t="s">
        <v>0</v>
      </c>
      <c r="H12" t="str">
        <f>LEFTB(Sheet1!D9&amp;REPT(" ",$H$2),$H$2)</f>
        <v xml:space="preserve">Shaé Universe                    </v>
      </c>
      <c r="I12" s="3" t="s">
        <v>0</v>
      </c>
      <c r="J12" s="2" t="str">
        <f>TEXT(Sheet1!E9,"HH:MM")&amp;" "</f>
        <v xml:space="preserve">02:50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More Than Enough  </v>
      </c>
      <c r="E13" s="3" t="s">
        <v>0</v>
      </c>
      <c r="F13" t="str">
        <f>" "&amp;LEFTB(Sheet1!C10&amp;REPT(" ",$F$2),$F$2)</f>
        <v xml:space="preserve"> Shaé Universe, Lalah Hathawa</v>
      </c>
      <c r="G13" s="3" t="s">
        <v>0</v>
      </c>
      <c r="H13" t="str">
        <f>LEFTB(Sheet1!D10&amp;REPT(" ",$H$2),$H$2)</f>
        <v>Shaé Universe feat. Lalah Hathawa</v>
      </c>
      <c r="I13" s="3" t="s">
        <v>0</v>
      </c>
      <c r="J13" s="2" t="str">
        <f>TEXT(Sheet1!E10,"HH:MM")&amp;" "</f>
        <v xml:space="preserve">03:26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Sincerely,        </v>
      </c>
      <c r="E14" s="3" t="s">
        <v>0</v>
      </c>
      <c r="F14" t="str">
        <f>" "&amp;LEFTB(Sheet1!C11&amp;REPT(" ",$F$2),$F$2)</f>
        <v xml:space="preserve"> Shaé Universe               </v>
      </c>
      <c r="G14" s="3" t="s">
        <v>0</v>
      </c>
      <c r="H14" t="str">
        <f>LEFTB(Sheet1!D11&amp;REPT(" ",$H$2),$H$2)</f>
        <v xml:space="preserve">Shaé Universe                    </v>
      </c>
      <c r="I14" s="3" t="s">
        <v>0</v>
      </c>
      <c r="J14" s="2" t="str">
        <f>TEXT(Sheet1!E11,"HH:MM")&amp;" "</f>
        <v xml:space="preserve">02:47 </v>
      </c>
      <c r="K14" s="3" t="s">
        <v>0</v>
      </c>
    </row>
    <row r="15" spans="1:11">
      <c r="A15" t="s">
        <v>0</v>
      </c>
      <c r="B15">
        <f>Sheet1!A12</f>
        <v>0</v>
      </c>
      <c r="C15" s="3" t="s">
        <v>0</v>
      </c>
      <c r="D15" s="4" t="str">
        <f>LEFTB(Sheet1!B12&amp;REPT(" ",$D$2),$D$2)</f>
        <v xml:space="preserve">                  </v>
      </c>
      <c r="E15" s="3" t="s">
        <v>0</v>
      </c>
      <c r="F15" t="str">
        <f>" "&amp;LEFTB(Sheet1!C12&amp;REPT(" ",$F$2),$F$2)</f>
        <v xml:space="preserve">                              </v>
      </c>
      <c r="G15" s="3" t="s">
        <v>0</v>
      </c>
      <c r="H15" t="str">
        <f>LEFTB(Sheet1!D12&amp;REPT(" ",$H$2),$H$2)</f>
        <v xml:space="preserve">                                  </v>
      </c>
      <c r="I15" s="3" t="s">
        <v>0</v>
      </c>
      <c r="J15" s="2" t="str">
        <f>TEXT(Sheet1!E12,"HH:MM")&amp;" "</f>
        <v xml:space="preserve">00:00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   </v>
      </c>
      <c r="E16" s="3" t="s">
        <v>0</v>
      </c>
      <c r="F16" t="str">
        <f>" "&amp;LEFTB(Sheet1!C13&amp;REPT(" ",$F$2),$F$2)</f>
        <v xml:space="preserve">                              </v>
      </c>
      <c r="G16" s="3" t="s">
        <v>0</v>
      </c>
      <c r="H16" t="str">
        <f>LEFTB(Sheet1!D13&amp;REPT(" ",$H$2),$H$2)</f>
        <v xml:space="preserve">          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 </v>
      </c>
      <c r="E17" s="3" t="s">
        <v>0</v>
      </c>
      <c r="F17" t="str">
        <f>" "&amp;LEFTB(Sheet1!C14&amp;REPT(" ",$F$2),$F$2)</f>
        <v xml:space="preserve">                              </v>
      </c>
      <c r="G17" s="3" t="s">
        <v>0</v>
      </c>
      <c r="H17" t="str">
        <f>LEFTB(Sheet1!D14&amp;REPT(" ",$H$2),$H$2)</f>
        <v xml:space="preserve">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 </v>
      </c>
      <c r="E18" s="3" t="s">
        <v>0</v>
      </c>
      <c r="F18" t="str">
        <f>" "&amp;LEFTB(Sheet1!C15&amp;REPT(" ",$F$2),$F$2)</f>
        <v xml:space="preserve">                              </v>
      </c>
      <c r="G18" s="3" t="s">
        <v>0</v>
      </c>
      <c r="H18" t="str">
        <f>LEFTB(Sheet1!D15&amp;REPT(" ",$H$2),$H$2)</f>
        <v xml:space="preserve">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</v>
      </c>
      <c r="E19" s="3" t="s">
        <v>0</v>
      </c>
      <c r="F19" t="str">
        <f>" "&amp;LEFTB(Sheet1!C16&amp;REPT(" ",$F$2),$F$2)</f>
        <v xml:space="preserve">                              </v>
      </c>
      <c r="G19" s="3" t="s">
        <v>0</v>
      </c>
      <c r="H19" t="str">
        <f>LEFTB(Sheet1!D16&amp;REPT(" ",$H$2),$H$2)</f>
        <v xml:space="preserve">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</v>
      </c>
      <c r="E20" s="3" t="s">
        <v>0</v>
      </c>
      <c r="F20" t="str">
        <f>" "&amp;LEFTB(Sheet1!C17&amp;REPT(" ",$F$2),$F$2)</f>
        <v xml:space="preserve">                              </v>
      </c>
      <c r="G20" s="3" t="s">
        <v>0</v>
      </c>
      <c r="H20" t="str">
        <f>LEFTB(Sheet1!D17&amp;REPT(" ",$H$2),$H$2)</f>
        <v xml:space="preserve">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</v>
      </c>
      <c r="E21" s="3" t="s">
        <v>0</v>
      </c>
      <c r="F21" t="str">
        <f>" "&amp;LEFTB(Sheet1!C18&amp;REPT(" ",$F$2),$F$2)</f>
        <v xml:space="preserve">                              </v>
      </c>
      <c r="G21" s="3" t="s">
        <v>0</v>
      </c>
      <c r="H21" t="str">
        <f>LEFTB(Sheet1!D18&amp;REPT(" ",$H$2),$H$2)</f>
        <v xml:space="preserve">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</v>
      </c>
      <c r="E22" s="3" t="s">
        <v>0</v>
      </c>
      <c r="F22" t="str">
        <f>" "&amp;LEFTB(Sheet1!C19&amp;REPT(" ",$F$2),$F$2)</f>
        <v xml:space="preserve">                              </v>
      </c>
      <c r="G22" s="3" t="s">
        <v>0</v>
      </c>
      <c r="H22" t="str">
        <f>LEFTB(Sheet1!D19&amp;REPT(" ",$H$2),$H$2)</f>
        <v xml:space="preserve">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</v>
      </c>
      <c r="E23" s="3" t="s">
        <v>0</v>
      </c>
      <c r="F23" t="str">
        <f>" "&amp;LEFTB(Sheet1!C20&amp;REPT(" ",$F$2),$F$2)</f>
        <v xml:space="preserve">                              </v>
      </c>
      <c r="G23" s="3" t="s">
        <v>0</v>
      </c>
      <c r="H23" t="str">
        <f>LEFTB(Sheet1!D20&amp;REPT(" ",$H$2),$H$2)</f>
        <v xml:space="preserve">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</v>
      </c>
      <c r="E24" s="3" t="s">
        <v>0</v>
      </c>
      <c r="F24" t="str">
        <f>" "&amp;LEFTB(Sheet1!C21&amp;REPT(" ",$F$2),$F$2)</f>
        <v xml:space="preserve">                              </v>
      </c>
      <c r="G24" s="3" t="s">
        <v>0</v>
      </c>
      <c r="H24" t="str">
        <f>LEFTB(Sheet1!D21&amp;REPT(" ",$H$2),$H$2)</f>
        <v xml:space="preserve">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</v>
      </c>
      <c r="E25" s="3" t="s">
        <v>0</v>
      </c>
      <c r="F25" t="str">
        <f>" "&amp;LEFTB(Sheet1!C22&amp;REPT(" ",$F$2),$F$2)</f>
        <v xml:space="preserve">                              </v>
      </c>
      <c r="G25" s="3" t="s">
        <v>0</v>
      </c>
      <c r="H25" t="str">
        <f>LEFTB(Sheet1!D22&amp;REPT(" ",$H$2),$H$2)</f>
        <v xml:space="preserve">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</v>
      </c>
      <c r="E26" s="3" t="s">
        <v>0</v>
      </c>
      <c r="F26" t="str">
        <f>" "&amp;LEFTB(Sheet1!C23&amp;REPT(" ",$F$2),$F$2)</f>
        <v xml:space="preserve">                              </v>
      </c>
      <c r="G26" s="3" t="s">
        <v>0</v>
      </c>
      <c r="H26" t="str">
        <f>LEFTB(Sheet1!D23&amp;REPT(" ",$H$2),$H$2)</f>
        <v xml:space="preserve">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</v>
      </c>
      <c r="E27" s="3" t="s">
        <v>0</v>
      </c>
      <c r="F27" t="str">
        <f>" "&amp;LEFTB(Sheet1!C24&amp;REPT(" ",$F$2),$F$2)</f>
        <v xml:space="preserve">                              </v>
      </c>
      <c r="G27" s="3" t="s">
        <v>0</v>
      </c>
      <c r="H27" t="str">
        <f>LEFTB(Sheet1!D24&amp;REPT(" ",$H$2),$H$2)</f>
        <v xml:space="preserve">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</v>
      </c>
      <c r="E28" s="3" t="s">
        <v>0</v>
      </c>
      <c r="F28" t="str">
        <f>" "&amp;LEFTB(Sheet1!C25&amp;REPT(" ",$F$2),$F$2)</f>
        <v xml:space="preserve">                              </v>
      </c>
      <c r="G28" s="3" t="s">
        <v>0</v>
      </c>
      <c r="H28" t="str">
        <f>LEFTB(Sheet1!D25&amp;REPT(" ",$H$2),$H$2)</f>
        <v xml:space="preserve">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</v>
      </c>
      <c r="E29" s="3" t="s">
        <v>0</v>
      </c>
      <c r="F29" t="str">
        <f>" "&amp;LEFTB(Sheet1!C26&amp;REPT(" ",$F$2),$F$2)</f>
        <v xml:space="preserve">                              </v>
      </c>
      <c r="G29" s="3" t="s">
        <v>0</v>
      </c>
      <c r="H29" t="str">
        <f>LEFTB(Sheet1!D26&amp;REPT(" ",$H$2),$H$2)</f>
        <v xml:space="preserve">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</v>
      </c>
      <c r="E30" s="3" t="s">
        <v>0</v>
      </c>
      <c r="F30" t="str">
        <f>" "&amp;LEFTB(Sheet1!C27&amp;REPT(" ",$F$2),$F$2)</f>
        <v xml:space="preserve">                              </v>
      </c>
      <c r="G30" s="3" t="s">
        <v>0</v>
      </c>
      <c r="H30" t="str">
        <f>LEFTB(Sheet1!D27&amp;REPT(" ",$H$2),$H$2)</f>
        <v xml:space="preserve">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A01A-F31C-47ED-9B40-3CA441EC4C64}">
  <dimension ref="A1:E11"/>
  <sheetViews>
    <sheetView workbookViewId="0">
      <selection sqref="A1:XFD1048576"/>
    </sheetView>
  </sheetViews>
  <sheetFormatPr defaultRowHeight="19.5"/>
  <cols>
    <col min="1" max="1" width="11" bestFit="1" customWidth="1"/>
    <col min="2" max="2" width="18.5546875" bestFit="1" customWidth="1"/>
    <col min="3" max="3" width="29.44140625" bestFit="1" customWidth="1"/>
    <col min="4" max="4" width="33.777343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9</v>
      </c>
      <c r="E2" s="5">
        <v>0.1111111111111111</v>
      </c>
    </row>
    <row r="3" spans="1:5">
      <c r="A3">
        <v>2</v>
      </c>
      <c r="B3" s="6" t="s">
        <v>10</v>
      </c>
      <c r="C3" s="6" t="s">
        <v>9</v>
      </c>
      <c r="D3" s="6" t="s">
        <v>9</v>
      </c>
      <c r="E3" s="5">
        <v>0.14791666666666667</v>
      </c>
    </row>
    <row r="4" spans="1:5">
      <c r="A4">
        <v>3</v>
      </c>
      <c r="B4" s="6" t="s">
        <v>11</v>
      </c>
      <c r="C4" s="6" t="s">
        <v>9</v>
      </c>
      <c r="D4" s="6" t="s">
        <v>9</v>
      </c>
      <c r="E4" s="5">
        <v>0.125</v>
      </c>
    </row>
    <row r="5" spans="1:5">
      <c r="A5">
        <v>4</v>
      </c>
      <c r="B5" s="6" t="s">
        <v>12</v>
      </c>
      <c r="C5" s="6" t="s">
        <v>9</v>
      </c>
      <c r="D5" s="6" t="s">
        <v>9</v>
      </c>
      <c r="E5" s="5">
        <v>0.1736111111111111</v>
      </c>
    </row>
    <row r="6" spans="1:5">
      <c r="A6">
        <v>5</v>
      </c>
      <c r="B6" s="6" t="s">
        <v>13</v>
      </c>
      <c r="C6" s="6" t="s">
        <v>9</v>
      </c>
      <c r="D6" s="6" t="s">
        <v>9</v>
      </c>
      <c r="E6" s="5">
        <v>0.11388888888888889</v>
      </c>
    </row>
    <row r="7" spans="1:5">
      <c r="A7">
        <v>6</v>
      </c>
      <c r="B7" s="6" t="s">
        <v>14</v>
      </c>
      <c r="C7" s="6" t="s">
        <v>9</v>
      </c>
      <c r="D7" s="6" t="s">
        <v>9</v>
      </c>
      <c r="E7" s="5">
        <v>0.11527777777777778</v>
      </c>
    </row>
    <row r="8" spans="1:5">
      <c r="A8">
        <v>7</v>
      </c>
      <c r="B8" s="6" t="s">
        <v>15</v>
      </c>
      <c r="C8" s="6" t="s">
        <v>9</v>
      </c>
      <c r="D8" s="6" t="s">
        <v>9</v>
      </c>
      <c r="E8" s="5">
        <v>0.15069444444444444</v>
      </c>
    </row>
    <row r="9" spans="1:5">
      <c r="A9">
        <v>8</v>
      </c>
      <c r="B9" s="6" t="s">
        <v>16</v>
      </c>
      <c r="C9" s="6" t="s">
        <v>9</v>
      </c>
      <c r="D9" s="6" t="s">
        <v>9</v>
      </c>
      <c r="E9" s="5">
        <v>0.11805555555555555</v>
      </c>
    </row>
    <row r="10" spans="1:5">
      <c r="A10">
        <v>9</v>
      </c>
      <c r="B10" s="6" t="s">
        <v>17</v>
      </c>
      <c r="C10" s="6" t="s">
        <v>18</v>
      </c>
      <c r="D10" s="6" t="s">
        <v>19</v>
      </c>
      <c r="E10" s="5">
        <v>0.14305555555555555</v>
      </c>
    </row>
    <row r="11" spans="1:5">
      <c r="A11">
        <v>10</v>
      </c>
      <c r="B11" s="6" t="s">
        <v>20</v>
      </c>
      <c r="C11" s="6" t="s">
        <v>9</v>
      </c>
      <c r="D11" s="6" t="s">
        <v>9</v>
      </c>
      <c r="E11" s="5">
        <v>0.11597222222222223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EA38-3A53-4470-931C-A4C82B83983B}">
  <dimension ref="B2:E15"/>
  <sheetViews>
    <sheetView workbookViewId="0"/>
  </sheetViews>
  <sheetFormatPr defaultRowHeight="19.5"/>
  <cols>
    <col min="1" max="1" width="11" bestFit="1" customWidth="1"/>
    <col min="2" max="2" width="22.88671875" bestFit="1" customWidth="1"/>
    <col min="3" max="3" width="80.88671875" bestFit="1" customWidth="1"/>
    <col min="4" max="4" width="29.3320312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  <row r="15" spans="2:5">
      <c r="B15" s="6"/>
      <c r="C15" s="6"/>
      <c r="D15" s="6"/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5607B-183B-40C3-9E68-CD33FC6BD4B0}">
  <dimension ref="E2:E18"/>
  <sheetViews>
    <sheetView workbookViewId="0">
      <selection sqref="A1:XFD1048576"/>
    </sheetView>
  </sheetViews>
  <sheetFormatPr defaultRowHeight="19.5"/>
  <cols>
    <col min="1" max="1" width="10.77734375" bestFit="1" customWidth="1"/>
    <col min="2" max="2" width="24.77734375" bestFit="1" customWidth="1"/>
    <col min="3" max="3" width="48.21875" bestFit="1" customWidth="1"/>
    <col min="4" max="4" width="23.77734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(9)</vt:lpstr>
      <vt:lpstr>テーブル 5 (7)</vt:lpstr>
      <vt:lpstr>テーブル 5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2024-06-16T14:28:50Z</dcterms:modified>
</cp:coreProperties>
</file>