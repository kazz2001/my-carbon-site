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arbon\mcs_v4\"/>
    </mc:Choice>
  </mc:AlternateContent>
  <xr:revisionPtr revIDLastSave="0" documentId="13_ncr:1_{98B4F01A-BBB3-4DE1-A8D5-3C41C3687956}" xr6:coauthVersionLast="47" xr6:coauthVersionMax="47" xr10:uidLastSave="{00000000-0000-0000-0000-000000000000}"/>
  <bookViews>
    <workbookView xWindow="21744" yWindow="2604" windowWidth="22104" windowHeight="16824" activeTab="1" xr2:uid="{00000000-000D-0000-FFFF-FFFF00000000}"/>
  </bookViews>
  <sheets>
    <sheet name="Sheet1" sheetId="1" r:id="rId1"/>
    <sheet name="Sheet2" sheetId="2" r:id="rId2"/>
    <sheet name="テーブル 5 (67)" sheetId="73" r:id="rId3"/>
    <sheet name="テーブル 5 (61)" sheetId="70" r:id="rId4"/>
  </sheets>
  <definedNames>
    <definedName name="ExternalData_1" localSheetId="0" hidden="1">Sheet1!$A$1:$E$12</definedName>
    <definedName name="ExternalData_1" localSheetId="2" hidden="1">'テーブル 5 (67)'!$A$1:$E$12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1D050FEF-9BC3-400B-ABE4-5025A2E1FD88}" keepAlive="1" name="クエリ - テーブル 5 (51)" description="ブック内の 'テーブル 5 (51)' クエリへの接続です。" type="5" refreshedVersion="0" background="1">
    <dbPr connection="Provider=Microsoft.Mashup.OleDb.1;Data Source=$Workbook$;Location=&quot;テーブル 5 (51)&quot;;Extended Properties=&quot;&quot;" command="SELECT * FROM [テーブル 5 (51)]"/>
  </connection>
  <connection id="126" xr16:uid="{04E1DE2C-0F8B-4AA2-B40B-1A5D370B5011}" keepAlive="1" name="クエリ - テーブル 5 (52)" description="ブック内の 'テーブル 5 (52)' クエリへの接続です。" type="5" refreshedVersion="8" background="1" saveData="1">
    <dbPr connection="Provider=Microsoft.Mashup.OleDb.1;Data Source=$Workbook$;Location=&quot;テーブル 5 (52)&quot;;Extended Properties=&quot;&quot;" command="SELECT * FROM [テーブル 5 (52)]"/>
  </connection>
  <connection id="127" xr16:uid="{7A11FE41-E253-43BC-8A00-1C400CA377D1}" keepAlive="1" name="クエリ - テーブル 5 (53)" description="ブック内の 'テーブル 5 (53)' クエリへの接続です。" type="5" refreshedVersion="8" background="1" saveData="1">
    <dbPr connection="Provider=Microsoft.Mashup.OleDb.1;Data Source=$Workbook$;Location=&quot;テーブル 5 (53)&quot;;Extended Properties=&quot;&quot;" command="SELECT * FROM [テーブル 5 (53)]"/>
  </connection>
  <connection id="128" xr16:uid="{5EC92980-5492-4A89-A4A8-9801BC14492C}" keepAlive="1" name="クエリ - テーブル 5 (54)" description="ブック内の 'テーブル 5 (54)' クエリへの接続です。" type="5" refreshedVersion="8" background="1" saveData="1">
    <dbPr connection="Provider=Microsoft.Mashup.OleDb.1;Data Source=$Workbook$;Location=&quot;テーブル 5 (54)&quot;;Extended Properties=&quot;&quot;" command="SELECT * FROM [テーブル 5 (54)]"/>
  </connection>
  <connection id="129" xr16:uid="{4D402CCC-83C9-406F-8C34-4F775E1168DA}" keepAlive="1" name="クエリ - テーブル 5 (55)" description="ブック内の 'テーブル 5 (55)' クエリへの接続です。" type="5" refreshedVersion="8" background="1" saveData="1">
    <dbPr connection="Provider=Microsoft.Mashup.OleDb.1;Data Source=$Workbook$;Location=&quot;テーブル 5 (55)&quot;;Extended Properties=&quot;&quot;" command="SELECT * FROM [テーブル 5 (55)]"/>
  </connection>
  <connection id="130" xr16:uid="{A783859C-FF36-4DD0-8551-D4BB737E4F61}" keepAlive="1" name="クエリ - テーブル 5 (56)" description="ブック内の 'テーブル 5 (56)' クエリへの接続です。" type="5" refreshedVersion="8" background="1" saveData="1">
    <dbPr connection="Provider=Microsoft.Mashup.OleDb.1;Data Source=$Workbook$;Location=&quot;テーブル 5 (56)&quot;;Extended Properties=&quot;&quot;" command="SELECT * FROM [テーブル 5 (56)]"/>
  </connection>
  <connection id="131" xr16:uid="{15E76B00-9305-4741-A2AB-01B6330EAAF2}" keepAlive="1" name="クエリ - テーブル 5 (57)" description="ブック内の 'テーブル 5 (57)' クエリへの接続です。" type="5" refreshedVersion="8" background="1" saveData="1">
    <dbPr connection="Provider=Microsoft.Mashup.OleDb.1;Data Source=$Workbook$;Location=&quot;テーブル 5 (57)&quot;;Extended Properties=&quot;&quot;" command="SELECT * FROM [テーブル 5 (57)]"/>
  </connection>
  <connection id="132" xr16:uid="{F34C8D89-6520-4A3D-9DCC-92CF29A2D2A6}" keepAlive="1" name="クエリ - テーブル 5 (58)" description="ブック内の 'テーブル 5 (58)' クエリへの接続です。" type="5" refreshedVersion="8" background="1" saveData="1">
    <dbPr connection="Provider=Microsoft.Mashup.OleDb.1;Data Source=$Workbook$;Location=&quot;テーブル 5 (58)&quot;;Extended Properties=&quot;&quot;" command="SELECT * FROM [テーブル 5 (58)]"/>
  </connection>
  <connection id="133" xr16:uid="{8E94A45C-00CE-41E1-BC77-0B7DBAC9B2C2}" keepAlive="1" name="クエリ - テーブル 5 (59)" description="ブック内の 'テーブル 5 (59)' クエリへの接続です。" type="5" refreshedVersion="8" background="1" saveData="1">
    <dbPr connection="Provider=Microsoft.Mashup.OleDb.1;Data Source=$Workbook$;Location=&quot;テーブル 5 (59)&quot;;Extended Properties=&quot;&quot;" command="SELECT * FROM [テーブル 5 (59)]"/>
  </connection>
  <connection id="134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35" xr16:uid="{11199990-A322-46C2-A519-29F73E80E0EE}" keepAlive="1" name="クエリ - テーブル 5 (60)" description="ブック内の 'テーブル 5 (60)' クエリへの接続です。" type="5" refreshedVersion="8" background="1" saveData="1">
    <dbPr connection="Provider=Microsoft.Mashup.OleDb.1;Data Source=$Workbook$;Location=&quot;テーブル 5 (60)&quot;;Extended Properties=&quot;&quot;" command="SELECT * FROM [テーブル 5 (60)]"/>
  </connection>
  <connection id="136" xr16:uid="{F402F748-2349-414B-802D-7FDF17E1BFFA}" keepAlive="1" name="クエリ - テーブル 5 (61)" description="ブック内の 'テーブル 5 (61)' クエリへの接続です。" type="5" refreshedVersion="8" background="1" saveData="1">
    <dbPr connection="Provider=Microsoft.Mashup.OleDb.1;Data Source=$Workbook$;Location=&quot;テーブル 5 (61)&quot;;Extended Properties=&quot;&quot;" command="SELECT * FROM [テーブル 5 (61)]"/>
  </connection>
  <connection id="137" xr16:uid="{D0DF5541-C189-427F-987F-D492C0D8AF07}" keepAlive="1" name="クエリ - テーブル 5 (62)" description="ブック内の 'テーブル 5 (62)' クエリへの接続です。" type="5" refreshedVersion="8" background="1" saveData="1">
    <dbPr connection="Provider=Microsoft.Mashup.OleDb.1;Data Source=$Workbook$;Location=&quot;テーブル 5 (62)&quot;;Extended Properties=&quot;&quot;" command="SELECT * FROM [テーブル 5 (62)]"/>
  </connection>
  <connection id="138" xr16:uid="{A9B568BA-7ED4-48D7-ACAB-4C93F8584743}" keepAlive="1" name="クエリ - テーブル 5 (63)" description="ブック内の 'テーブル 5 (63)' クエリへの接続です。" type="5" refreshedVersion="0" background="1">
    <dbPr connection="Provider=Microsoft.Mashup.OleDb.1;Data Source=$Workbook$;Location=&quot;テーブル 5 (63)&quot;;Extended Properties=&quot;&quot;" command="SELECT * FROM [テーブル 5 (63)]"/>
  </connection>
  <connection id="139" xr16:uid="{E8806155-1A53-4387-9215-A077F81B3EA8}" keepAlive="1" name="クエリ - テーブル 5 (64)" description="ブック内の 'テーブル 5 (64)' クエリへの接続です。" type="5" refreshedVersion="8" background="1" saveData="1">
    <dbPr connection="Provider=Microsoft.Mashup.OleDb.1;Data Source=$Workbook$;Location=&quot;テーブル 5 (64)&quot;;Extended Properties=&quot;&quot;" command="SELECT * FROM [テーブル 5 (64)]"/>
  </connection>
  <connection id="140" xr16:uid="{EA53A195-970D-4B24-98FF-F989BAE95881}" keepAlive="1" name="クエリ - テーブル 5 (65)" description="ブック内の 'テーブル 5 (65)' クエリへの接続です。" type="5" refreshedVersion="8" background="1" saveData="1">
    <dbPr connection="Provider=Microsoft.Mashup.OleDb.1;Data Source=$Workbook$;Location=&quot;テーブル 5 (65)&quot;;Extended Properties=&quot;&quot;" command="SELECT * FROM [テーブル 5 (65)]"/>
  </connection>
  <connection id="141" xr16:uid="{B026A762-CDB7-445F-9538-62399460FAE7}" keepAlive="1" name="クエリ - テーブル 5 (66)" description="ブック内の 'テーブル 5 (66)' クエリへの接続です。" type="5" refreshedVersion="8" background="1" saveData="1">
    <dbPr connection="Provider=Microsoft.Mashup.OleDb.1;Data Source=$Workbook$;Location=&quot;テーブル 5 (66)&quot;;Extended Properties=&quot;&quot;" command="SELECT * FROM [テーブル 5 (66)]"/>
  </connection>
  <connection id="142" xr16:uid="{CEC9A435-D0BF-4D3C-B7AE-60A8CB3B26D8}" keepAlive="1" name="クエリ - テーブル 5 (67)" description="ブック内の 'テーブル 5 (67)' クエリへの接続です。" type="5" refreshedVersion="8" background="1" saveData="1">
    <dbPr connection="Provider=Microsoft.Mashup.OleDb.1;Data Source=$Workbook$;Location=&quot;テーブル 5 (67)&quot;;Extended Properties=&quot;&quot;" command="SELECT * FROM [テーブル 5 (67)]"/>
  </connection>
  <connection id="143" xr16:uid="{1310CB73-5935-4ED4-92F0-969D9F6977F0}" keepAlive="1" name="クエリ - テーブル 5 (68)" description="ブック内の 'テーブル 5 (68)' クエリへの接続です。" type="5" refreshedVersion="8" background="1" saveData="1">
    <dbPr connection="Provider=Microsoft.Mashup.OleDb.1;Data Source=$Workbook$;Location=&quot;テーブル 5 (68)&quot;;Extended Properties=&quot;&quot;" command="SELECT * FROM [テーブル 5 (68)]"/>
  </connection>
  <connection id="144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45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46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<sst xmlns="http://schemas.openxmlformats.org/spreadsheetml/2006/main" count="246" uniqueCount="22">
  <si>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</si>
  <si>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</si>
  <si>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</si>
  <si>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</si>
  <si>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</si>
  <si>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</si>
  <si>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</si>
  <si>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</si>
  <si>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Floating Parade</t>
  </si>
  <si>
    <t>Brian Burton / Dean Josiah Cover / Michael Kiwanuka</t>
  </si>
  <si>
    <t>Michael Kiwanuka</t>
  </si>
  <si>
    <t>Small Changes</t>
  </si>
  <si>
    <t>One and Only</t>
  </si>
  <si>
    <t>Rebel Soul</t>
  </si>
  <si>
    <t>Lowdown, Pt. 1</t>
  </si>
  <si>
    <t>Lowdown, Pt. 2</t>
  </si>
  <si>
    <t>Follow Your Dreams</t>
  </si>
  <si>
    <t>Live for Your Love</t>
  </si>
  <si>
    <t>Stay by My Side</t>
  </si>
  <si>
    <t>The Rest of Me</t>
  </si>
  <si>
    <t>Four Long Years</t>
  </si>
  <si>
    <t>Brian Burton / Michael Kiwanuka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</si>
</sst>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3" xr16:uid="{EA068616-1ABE-4D81-9D21-418F4658FF6C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2" xr16:uid="{47A88C73-46A7-4B99-9C74-50CC9EE1E371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B4CA1-FF78-400D-8B0C-50F53E8EFE61}" name="テーブル_5__673" displayName="テーブル_5__673" ref="A1:E12" tableType="queryTable" totalsRowShown="0">
  <autoFilter ref="A1:E12" xr:uid="{E73B4CA1-FF78-400D-8B0C-50F53E8EFE61}"/>
  <tableColumns count="5">
    <tableColumn id="1" xr3:uid="{CAE419AC-334C-448C-8915-198C674D1480}" uniqueName="1" name="Column1" queryTableFieldId="1"/>
    <tableColumn id="2" xr3:uid="{BEF025A9-9B9D-40AB-A804-4DEEDBDAC918}" uniqueName="2" name="Title" queryTableFieldId="2" dataDxfId="3"/>
    <tableColumn id="3" xr3:uid="{5536C2AE-8FB3-450E-B243-2DEBEF37D2EB}" uniqueName="3" name="Composer" queryTableFieldId="3" dataDxfId="2"/>
    <tableColumn id="4" xr3:uid="{10E6674E-C0E8-4CFA-99CD-1C07F63939A1}" uniqueName="4" name="Performer" queryTableFieldId="4" dataDxfId="1"/>
    <tableColumn id="5" xr3:uid="{1F416D7B-988F-43ED-9515-D5DC29057A2E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9229E2-39DC-4D5B-9A17-8F8A785DF661}" name="テーブル_5__67" displayName="テーブル_5__67" ref="A1:E12" tableType="queryTable" totalsRowShown="0">
  <autoFilter ref="A1:E12" xr:uid="{719229E2-39DC-4D5B-9A17-8F8A785DF661}"/>
  <tableColumns count="5">
    <tableColumn id="1" xr3:uid="{36CA2826-96EB-4B1C-B3AE-D232E6FF97AA}" uniqueName="1" name="Column1" queryTableFieldId="1"/>
    <tableColumn id="2" xr3:uid="{5A308E51-A447-4BFE-9BE4-F059D9201AB9}" uniqueName="2" name="Title" queryTableFieldId="2" dataDxfId="7"/>
    <tableColumn id="3" xr3:uid="{EC3450AB-78FE-4B0B-84AC-34B7F44517C9}" uniqueName="3" name="Composer" queryTableFieldId="3" dataDxfId="6"/>
    <tableColumn id="4" xr3:uid="{8429B679-1D90-453B-AACC-18F97F5824BA}" uniqueName="4" name="Performer" queryTableFieldId="4" dataDxfId="5"/>
    <tableColumn id="5" xr3:uid="{1388BDCB-D7BE-408C-A942-A5B5792D154A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18.81640625" bestFit="1" customWidth="1"/>
    <col min="3" max="3" width="50" bestFit="1" customWidth="1"/>
    <col min="4" max="4" width="17.269531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0.15972222222222221</v>
      </c>
    </row>
    <row r="3" spans="1:5">
      <c r="A3">
        <v>2</v>
      </c>
      <c r="B3" s="6" t="s">
        <v>11</v>
      </c>
      <c r="C3" s="6" t="s">
        <v>9</v>
      </c>
      <c r="D3" s="6" t="s">
        <v>10</v>
      </c>
      <c r="E3" s="5">
        <v>0.1701388888888889</v>
      </c>
    </row>
    <row r="4" spans="1:5">
      <c r="A4">
        <v>3</v>
      </c>
      <c r="B4" s="6" t="s">
        <v>12</v>
      </c>
      <c r="C4" s="6" t="s">
        <v>9</v>
      </c>
      <c r="D4" s="6" t="s">
        <v>10</v>
      </c>
      <c r="E4" s="5">
        <v>0.18819444444444444</v>
      </c>
    </row>
    <row r="5" spans="1:5">
      <c r="A5">
        <v>4</v>
      </c>
      <c r="B5" s="6" t="s">
        <v>13</v>
      </c>
      <c r="C5" s="6" t="s">
        <v>9</v>
      </c>
      <c r="D5" s="6" t="s">
        <v>10</v>
      </c>
      <c r="E5" s="5">
        <v>0.14374999999999999</v>
      </c>
    </row>
    <row r="6" spans="1:5">
      <c r="A6">
        <v>5</v>
      </c>
      <c r="B6" s="6" t="s">
        <v>14</v>
      </c>
      <c r="C6" s="6" t="s">
        <v>9</v>
      </c>
      <c r="D6" s="6" t="s">
        <v>10</v>
      </c>
      <c r="E6" s="5">
        <v>0.13541666666666666</v>
      </c>
    </row>
    <row r="7" spans="1:5">
      <c r="A7">
        <v>6</v>
      </c>
      <c r="B7" s="6" t="s">
        <v>15</v>
      </c>
      <c r="C7" s="6" t="s">
        <v>9</v>
      </c>
      <c r="D7" s="6" t="s">
        <v>10</v>
      </c>
      <c r="E7" s="5">
        <v>0.11041666666666666</v>
      </c>
    </row>
    <row r="8" spans="1:5">
      <c r="A8">
        <v>7</v>
      </c>
      <c r="B8" s="6" t="s">
        <v>16</v>
      </c>
      <c r="C8" s="6" t="s">
        <v>9</v>
      </c>
      <c r="D8" s="6" t="s">
        <v>10</v>
      </c>
      <c r="E8" s="5">
        <v>0.15277777777777779</v>
      </c>
    </row>
    <row r="9" spans="1:5">
      <c r="A9">
        <v>8</v>
      </c>
      <c r="B9" s="6" t="s">
        <v>17</v>
      </c>
      <c r="C9" s="6" t="s">
        <v>9</v>
      </c>
      <c r="D9" s="6" t="s">
        <v>10</v>
      </c>
      <c r="E9" s="5">
        <v>0.10277777777777777</v>
      </c>
    </row>
    <row r="10" spans="1:5">
      <c r="A10">
        <v>9</v>
      </c>
      <c r="B10" s="6" t="s">
        <v>18</v>
      </c>
      <c r="C10" s="6" t="s">
        <v>9</v>
      </c>
      <c r="D10" s="6" t="s">
        <v>10</v>
      </c>
      <c r="E10" s="5">
        <v>0.15486111111111112</v>
      </c>
    </row>
    <row r="11" spans="1:5">
      <c r="A11">
        <v>10</v>
      </c>
      <c r="B11" s="6" t="s">
        <v>19</v>
      </c>
      <c r="C11" s="6" t="s">
        <v>9</v>
      </c>
      <c r="D11" s="6" t="s">
        <v>10</v>
      </c>
      <c r="E11" s="5">
        <v>0.15972222222222221</v>
      </c>
    </row>
    <row r="12" spans="1:5">
      <c r="A12">
        <v>11</v>
      </c>
      <c r="B12" s="6" t="s">
        <v>20</v>
      </c>
      <c r="C12" s="6" t="s">
        <v>21</v>
      </c>
      <c r="D12" s="6" t="s">
        <v>10</v>
      </c>
      <c r="E12" s="5">
        <v>0.19583333333333333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workbookViewId="0">
      <selection activeCell="K15" sqref="A3:K15"/>
    </sheetView>
  </sheetViews>
  <sheetFormatPr defaultColWidth="11.54296875" defaultRowHeight="19.8"/>
  <cols>
    <col min="1" max="1" width="4.1796875" customWidth="1"/>
    <col min="3" max="3" width="3.90625" style="3" customWidth="1"/>
    <col min="4" max="4" width="21.08984375" customWidth="1"/>
    <col min="5" max="5" width="4" style="3" customWidth="1"/>
    <col min="6" max="6" width="119.1796875" bestFit="1" customWidth="1"/>
    <col min="7" max="7" width="4.453125" style="3" customWidth="1"/>
    <col min="8" max="8" width="21.81640625" customWidth="1"/>
    <col min="9" max="9" width="4.36328125" style="3" customWidth="1"/>
    <col min="10" max="10" width="8.453125" customWidth="1"/>
    <col min="11" max="11" width="3.453125" style="3" customWidth="1"/>
  </cols>
  <sheetData>
    <row r="2" spans="1:11">
      <c r="D2" s="1">
        <f t="array" ref="D2">MAX(LENB(Sheet1!B1:'Sheet1'!B30))</f>
        <v>18</v>
      </c>
      <c r="F2" s="1">
        <f t="array" ref="F2">MAX(LENB(Sheet1!C1:'Sheet1'!C30))</f>
        <v>51</v>
      </c>
      <c r="H2" s="1">
        <f t="array" ref="H2">MAX(LENB(Sheet1!D1:'Sheet1'!D30))</f>
        <v>16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</v>
      </c>
      <c r="E3" s="3" t="s">
        <v>0</v>
      </c>
      <c r="F3" t="str">
        <f>" "&amp;LEFTB("Composers"&amp;REPT(" ",$F$2-1),$F$2-1)</f>
        <v xml:space="preserve"> Composers                                         </v>
      </c>
      <c r="G3" s="3" t="s">
        <v>0</v>
      </c>
      <c r="H3" t="str">
        <f>" "&amp;LEFTB("Performer"&amp;REPT(" ",$H$2),$H$2)</f>
        <v xml:space="preserve"> Performer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 </v>
      </c>
      <c r="E4" s="3" t="s">
        <v>0</v>
      </c>
      <c r="F4" t="str">
        <f>" "&amp;REPT("-",$F$2)&amp;" "</f>
        <v xml:space="preserve"> --------------------------------------------------- </v>
      </c>
      <c r="G4" s="3" t="s">
        <v>0</v>
      </c>
      <c r="H4" t="str">
        <f>" "&amp;REPT("-",$H$2)&amp;" "</f>
        <v xml:space="preserve"> 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Floating Parade   </v>
      </c>
      <c r="E5" s="3" t="s">
        <v>0</v>
      </c>
      <c r="F5" t="str">
        <f>" "&amp;LEFTB(Sheet1!C2&amp;REPT(" ",$F$2),$F$2)</f>
        <v xml:space="preserve"> Brian Burton / Dean Josiah Cover / Michael Kiwanuka</v>
      </c>
      <c r="G5" s="3" t="s">
        <v>0</v>
      </c>
      <c r="H5" t="str">
        <f>LEFTB(Sheet1!D2&amp;REPT(" ",$H$2),$H$2)</f>
        <v>Michael Kiwanuka</v>
      </c>
      <c r="I5" s="3" t="s">
        <v>0</v>
      </c>
      <c r="J5" s="2" t="str">
        <f>TEXT(Sheet1!E2,"HH:MM")&amp;" "</f>
        <v xml:space="preserve">03:50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Small Changes     </v>
      </c>
      <c r="E6" s="3" t="s">
        <v>0</v>
      </c>
      <c r="F6" t="str">
        <f>" "&amp;LEFTB(Sheet1!C3&amp;REPT(" ",$F$2),$F$2)</f>
        <v xml:space="preserve"> Brian Burton / Dean Josiah Cover / Michael Kiwanuka</v>
      </c>
      <c r="G6" s="3" t="s">
        <v>0</v>
      </c>
      <c r="H6" t="str">
        <f>LEFTB(Sheet1!D3&amp;REPT(" ",$H$2),$H$2)</f>
        <v>Michael Kiwanuka</v>
      </c>
      <c r="I6" s="3" t="s">
        <v>0</v>
      </c>
      <c r="J6" s="2" t="str">
        <f>TEXT(Sheet1!E3,"HH:MM")&amp;" "</f>
        <v xml:space="preserve">04:05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One and Only      </v>
      </c>
      <c r="E7" s="3" t="s">
        <v>0</v>
      </c>
      <c r="F7" t="str">
        <f>" "&amp;LEFTB(Sheet1!C4&amp;REPT(" ",$F$2),$F$2)</f>
        <v xml:space="preserve"> Brian Burton / Dean Josiah Cover / Michael Kiwanuka</v>
      </c>
      <c r="G7" s="3" t="s">
        <v>0</v>
      </c>
      <c r="H7" t="str">
        <f>LEFTB(Sheet1!D4&amp;REPT(" ",$H$2),$H$2)</f>
        <v>Michael Kiwanuka</v>
      </c>
      <c r="I7" s="3" t="s">
        <v>0</v>
      </c>
      <c r="J7" s="2" t="str">
        <f>TEXT(Sheet1!E4,"HH:MM")&amp;" "</f>
        <v xml:space="preserve">04:31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Rebel Soul        </v>
      </c>
      <c r="E8" s="3" t="s">
        <v>0</v>
      </c>
      <c r="F8" t="str">
        <f>" "&amp;LEFTB(Sheet1!C5&amp;REPT(" ",$F$2),$F$2)</f>
        <v xml:space="preserve"> Brian Burton / Dean Josiah Cover / Michael Kiwanuka</v>
      </c>
      <c r="G8" s="3" t="s">
        <v>0</v>
      </c>
      <c r="H8" t="str">
        <f>LEFTB(Sheet1!D5&amp;REPT(" ",$H$2),$H$2)</f>
        <v>Michael Kiwanuka</v>
      </c>
      <c r="I8" s="3" t="s">
        <v>0</v>
      </c>
      <c r="J8" s="2" t="str">
        <f>TEXT(Sheet1!E5,"HH:MM")&amp;" "</f>
        <v xml:space="preserve">03:27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Lowdown, Pt. 1    </v>
      </c>
      <c r="E9" s="3" t="s">
        <v>0</v>
      </c>
      <c r="F9" t="str">
        <f>" "&amp;LEFTB(Sheet1!C6&amp;REPT(" ",$F$2),$F$2)</f>
        <v xml:space="preserve"> Brian Burton / Dean Josiah Cover / Michael Kiwanuka</v>
      </c>
      <c r="G9" s="3" t="s">
        <v>0</v>
      </c>
      <c r="H9" t="str">
        <f>LEFTB(Sheet1!D6&amp;REPT(" ",$H$2),$H$2)</f>
        <v>Michael Kiwanuka</v>
      </c>
      <c r="I9" s="3" t="s">
        <v>0</v>
      </c>
      <c r="J9" s="2" t="str">
        <f>TEXT(Sheet1!E6,"HH:MM")&amp;" "</f>
        <v xml:space="preserve">03:15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Lowdown, Pt. 2    </v>
      </c>
      <c r="E10" s="3" t="s">
        <v>0</v>
      </c>
      <c r="F10" t="str">
        <f>" "&amp;LEFTB(Sheet1!C7&amp;REPT(" ",$F$2),$F$2)</f>
        <v xml:space="preserve"> Brian Burton / Dean Josiah Cover / Michael Kiwanuka</v>
      </c>
      <c r="G10" s="3" t="s">
        <v>0</v>
      </c>
      <c r="H10" t="str">
        <f>LEFTB(Sheet1!D7&amp;REPT(" ",$H$2),$H$2)</f>
        <v>Michael Kiwanuka</v>
      </c>
      <c r="I10" s="3" t="s">
        <v>0</v>
      </c>
      <c r="J10" s="2" t="str">
        <f>TEXT(Sheet1!E7,"HH:MM")&amp;" "</f>
        <v xml:space="preserve">02:39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>Follow Your Dreams</v>
      </c>
      <c r="E11" s="3" t="s">
        <v>0</v>
      </c>
      <c r="F11" t="str">
        <f>" "&amp;LEFTB(Sheet1!C8&amp;REPT(" ",$F$2),$F$2)</f>
        <v xml:space="preserve"> Brian Burton / Dean Josiah Cover / Michael Kiwanuka</v>
      </c>
      <c r="G11" s="3" t="s">
        <v>0</v>
      </c>
      <c r="H11" t="str">
        <f>LEFTB(Sheet1!D8&amp;REPT(" ",$H$2),$H$2)</f>
        <v>Michael Kiwanuka</v>
      </c>
      <c r="I11" s="3" t="s">
        <v>0</v>
      </c>
      <c r="J11" s="2" t="str">
        <f>TEXT(Sheet1!E8,"HH:MM")&amp;" "</f>
        <v xml:space="preserve">03:40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>Live for Your Love</v>
      </c>
      <c r="E12" s="3" t="s">
        <v>0</v>
      </c>
      <c r="F12" t="str">
        <f>" "&amp;LEFTB(Sheet1!C9&amp;REPT(" ",$F$2),$F$2)</f>
        <v xml:space="preserve"> Brian Burton / Dean Josiah Cover / Michael Kiwanuka</v>
      </c>
      <c r="G12" s="3" t="s">
        <v>0</v>
      </c>
      <c r="H12" t="str">
        <f>LEFTB(Sheet1!D9&amp;REPT(" ",$H$2),$H$2)</f>
        <v>Michael Kiwanuka</v>
      </c>
      <c r="I12" s="3" t="s">
        <v>0</v>
      </c>
      <c r="J12" s="2" t="str">
        <f>TEXT(Sheet1!E9,"HH:MM")&amp;" "</f>
        <v xml:space="preserve">02:28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Stay by My Side   </v>
      </c>
      <c r="E13" s="3" t="s">
        <v>0</v>
      </c>
      <c r="F13" t="str">
        <f>" "&amp;LEFTB(Sheet1!C10&amp;REPT(" ",$F$2),$F$2)</f>
        <v xml:space="preserve"> Brian Burton / Dean Josiah Cover / Michael Kiwanuka</v>
      </c>
      <c r="G13" s="3" t="s">
        <v>0</v>
      </c>
      <c r="H13" t="str">
        <f>LEFTB(Sheet1!D10&amp;REPT(" ",$H$2),$H$2)</f>
        <v>Michael Kiwanuka</v>
      </c>
      <c r="I13" s="3" t="s">
        <v>0</v>
      </c>
      <c r="J13" s="2" t="str">
        <f>TEXT(Sheet1!E10,"HH:MM")&amp;" "</f>
        <v xml:space="preserve">03:43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The Rest of Me    </v>
      </c>
      <c r="E14" s="3" t="s">
        <v>0</v>
      </c>
      <c r="F14" t="str">
        <f>" "&amp;LEFTB(Sheet1!C11&amp;REPT(" ",$F$2),$F$2)</f>
        <v xml:space="preserve"> Brian Burton / Dean Josiah Cover / Michael Kiwanuka</v>
      </c>
      <c r="G14" s="3" t="s">
        <v>0</v>
      </c>
      <c r="H14" t="str">
        <f>LEFTB(Sheet1!D11&amp;REPT(" ",$H$2),$H$2)</f>
        <v>Michael Kiwanuka</v>
      </c>
      <c r="I14" s="3" t="s">
        <v>0</v>
      </c>
      <c r="J14" s="2" t="str">
        <f>TEXT(Sheet1!E11,"HH:MM")&amp;" "</f>
        <v xml:space="preserve">03:50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Four Long Years   </v>
      </c>
      <c r="E15" s="3" t="s">
        <v>0</v>
      </c>
      <c r="F15" t="str">
        <f>" "&amp;LEFTB(Sheet1!C12&amp;REPT(" ",$F$2),$F$2)</f>
        <v xml:space="preserve"> Brian Burton / Michael Kiwanuka                    </v>
      </c>
      <c r="G15" s="3" t="s">
        <v>0</v>
      </c>
      <c r="H15" t="str">
        <f>LEFTB(Sheet1!D12&amp;REPT(" ",$H$2),$H$2)</f>
        <v>Michael Kiwanuka</v>
      </c>
      <c r="I15" s="3" t="s">
        <v>0</v>
      </c>
      <c r="J15" s="2" t="str">
        <f>TEXT(Sheet1!E12,"HH:MM")&amp;" "</f>
        <v xml:space="preserve">04:42 </v>
      </c>
      <c r="K15" s="3" t="s">
        <v>0</v>
      </c>
    </row>
    <row r="16" spans="1:11">
      <c r="A16" t="s">
        <v>0</v>
      </c>
      <c r="B16">
        <f>Sheet1!A13</f>
        <v>0</v>
      </c>
      <c r="C16" s="3" t="s">
        <v>0</v>
      </c>
      <c r="D16" s="4" t="str">
        <f>LEFTB(Sheet1!B13&amp;REPT(" ",$D$2),$D$2)</f>
        <v xml:space="preserve">                  </v>
      </c>
      <c r="E16" s="3" t="s">
        <v>0</v>
      </c>
      <c r="F16" t="str">
        <f>" "&amp;LEFTB(Sheet1!C13&amp;REPT(" ",$F$2),$F$2)</f>
        <v xml:space="preserve">                                                    </v>
      </c>
      <c r="G16" s="3" t="s">
        <v>0</v>
      </c>
      <c r="H16" t="str">
        <f>LEFTB(Sheet1!D13&amp;REPT(" ",$H$2),$H$2)</f>
        <v xml:space="preserve">                </v>
      </c>
      <c r="I16" s="3" t="s">
        <v>0</v>
      </c>
      <c r="J16" s="2" t="str">
        <f>TEXT(Sheet1!E13,"HH:MM")&amp;" "</f>
        <v xml:space="preserve">00:00 </v>
      </c>
      <c r="K16" s="3" t="s">
        <v>0</v>
      </c>
    </row>
    <row r="17" spans="1:11">
      <c r="A17" t="s">
        <v>0</v>
      </c>
      <c r="B17">
        <f>Sheet1!A14</f>
        <v>0</v>
      </c>
      <c r="C17" s="3" t="s">
        <v>0</v>
      </c>
      <c r="D17" s="4" t="str">
        <f>LEFTB(Sheet1!B14&amp;REPT(" ",$D$2),$D$2)</f>
        <v xml:space="preserve">                  </v>
      </c>
      <c r="E17" s="3" t="s">
        <v>0</v>
      </c>
      <c r="F17" t="str">
        <f>" "&amp;LEFTB(Sheet1!C14&amp;REPT(" ",$F$2),$F$2)</f>
        <v xml:space="preserve">                                                    </v>
      </c>
      <c r="G17" s="3" t="s">
        <v>0</v>
      </c>
      <c r="H17" t="str">
        <f>LEFTB(Sheet1!D14&amp;REPT(" ",$H$2),$H$2)</f>
        <v xml:space="preserve">                </v>
      </c>
      <c r="I17" s="3" t="s">
        <v>0</v>
      </c>
      <c r="J17" s="2" t="str">
        <f>TEXT(Sheet1!E14,"HH:MM")&amp;" "</f>
        <v xml:space="preserve">00:00 </v>
      </c>
      <c r="K17" s="3" t="s">
        <v>0</v>
      </c>
    </row>
    <row r="18" spans="1:11">
      <c r="A18" t="s">
        <v>0</v>
      </c>
      <c r="B18">
        <f>Sheet1!A15</f>
        <v>0</v>
      </c>
      <c r="C18" s="3" t="s">
        <v>0</v>
      </c>
      <c r="D18" t="str">
        <f>LEFTB(Sheet1!B15&amp;REPT(" ",$D$2),$D$2)</f>
        <v xml:space="preserve">                  </v>
      </c>
      <c r="E18" s="3" t="s">
        <v>0</v>
      </c>
      <c r="F18" t="str">
        <f>" "&amp;LEFTB(Sheet1!C15&amp;REPT(" ",$F$2),$F$2)</f>
        <v xml:space="preserve">                                                    </v>
      </c>
      <c r="G18" s="3" t="s">
        <v>0</v>
      </c>
      <c r="H18" t="str">
        <f>LEFTB(Sheet1!D15&amp;REPT(" ",$H$2),$H$2)</f>
        <v xml:space="preserve">                </v>
      </c>
      <c r="I18" s="3" t="s">
        <v>0</v>
      </c>
      <c r="J18" s="2" t="str">
        <f>TEXT(Sheet1!E15,"HH:MM")&amp;" "</f>
        <v xml:space="preserve">00:00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      </v>
      </c>
      <c r="E19" s="3" t="s">
        <v>0</v>
      </c>
      <c r="F19" t="str">
        <f>" "&amp;LEFTB(Sheet1!C16&amp;REPT(" ",$F$2),$F$2)</f>
        <v xml:space="preserve">                                                    </v>
      </c>
      <c r="G19" s="3" t="s">
        <v>0</v>
      </c>
      <c r="H19" t="str">
        <f>LEFTB(Sheet1!D16&amp;REPT(" ",$H$2),$H$2)</f>
        <v xml:space="preserve">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</v>
      </c>
      <c r="E20" s="3" t="s">
        <v>0</v>
      </c>
      <c r="F20" t="str">
        <f>" "&amp;LEFTB(Sheet1!C17&amp;REPT(" ",$F$2),$F$2)</f>
        <v xml:space="preserve">                                                    </v>
      </c>
      <c r="G20" s="3" t="s">
        <v>0</v>
      </c>
      <c r="H20" t="str">
        <f>LEFTB(Sheet1!D17&amp;REPT(" ",$H$2),$H$2)</f>
        <v xml:space="preserve">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</v>
      </c>
      <c r="E21" s="3" t="s">
        <v>0</v>
      </c>
      <c r="F21" t="str">
        <f>" "&amp;LEFTB(Sheet1!C18&amp;REPT(" ",$F$2),$F$2)</f>
        <v xml:space="preserve">                                                    </v>
      </c>
      <c r="G21" s="3" t="s">
        <v>0</v>
      </c>
      <c r="H21" t="str">
        <f>LEFTB(Sheet1!D18&amp;REPT(" ",$H$2),$H$2)</f>
        <v xml:space="preserve">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</v>
      </c>
      <c r="E22" s="3" t="s">
        <v>0</v>
      </c>
      <c r="F22" t="str">
        <f>" "&amp;LEFTB(Sheet1!C19&amp;REPT(" ",$F$2),$F$2)</f>
        <v xml:space="preserve">                                                    </v>
      </c>
      <c r="G22" s="3" t="s">
        <v>0</v>
      </c>
      <c r="H22" t="str">
        <f>LEFTB(Sheet1!D19&amp;REPT(" ",$H$2),$H$2)</f>
        <v xml:space="preserve">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</v>
      </c>
      <c r="E23" s="3" t="s">
        <v>0</v>
      </c>
      <c r="F23" t="str">
        <f>" "&amp;LEFTB(Sheet1!C20&amp;REPT(" ",$F$2),$F$2)</f>
        <v xml:space="preserve">                                                    </v>
      </c>
      <c r="G23" s="3" t="s">
        <v>0</v>
      </c>
      <c r="H23" t="str">
        <f>LEFTB(Sheet1!D20&amp;REPT(" ",$H$2),$H$2)</f>
        <v xml:space="preserve">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</v>
      </c>
      <c r="E24" s="3" t="s">
        <v>0</v>
      </c>
      <c r="F24" t="str">
        <f>" "&amp;LEFTB(Sheet1!C21&amp;REPT(" ",$F$2),$F$2)</f>
        <v xml:space="preserve">                                                    </v>
      </c>
      <c r="G24" s="3" t="s">
        <v>0</v>
      </c>
      <c r="H24" t="str">
        <f>LEFTB(Sheet1!D21&amp;REPT(" ",$H$2),$H$2)</f>
        <v xml:space="preserve">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</v>
      </c>
      <c r="E25" s="3" t="s">
        <v>0</v>
      </c>
      <c r="F25" t="str">
        <f>" "&amp;LEFTB(Sheet1!C22&amp;REPT(" ",$F$2),$F$2)</f>
        <v xml:space="preserve">                                                    </v>
      </c>
      <c r="G25" s="3" t="s">
        <v>0</v>
      </c>
      <c r="H25" t="str">
        <f>LEFTB(Sheet1!D22&amp;REPT(" ",$H$2),$H$2)</f>
        <v xml:space="preserve">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</v>
      </c>
      <c r="E26" s="3" t="s">
        <v>0</v>
      </c>
      <c r="F26" t="str">
        <f>" "&amp;LEFTB(Sheet1!C23&amp;REPT(" ",$F$2),$F$2)</f>
        <v xml:space="preserve">                                                    </v>
      </c>
      <c r="G26" s="3" t="s">
        <v>0</v>
      </c>
      <c r="H26" t="str">
        <f>LEFTB(Sheet1!D23&amp;REPT(" ",$H$2),$H$2)</f>
        <v xml:space="preserve">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</v>
      </c>
      <c r="E27" s="3" t="s">
        <v>0</v>
      </c>
      <c r="F27" t="str">
        <f>" "&amp;LEFTB(Sheet1!C24&amp;REPT(" ",$F$2),$F$2)</f>
        <v xml:space="preserve">                                                    </v>
      </c>
      <c r="G27" s="3" t="s">
        <v>0</v>
      </c>
      <c r="H27" t="str">
        <f>LEFTB(Sheet1!D24&amp;REPT(" ",$H$2),$H$2)</f>
        <v xml:space="preserve">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</v>
      </c>
      <c r="E28" s="3" t="s">
        <v>0</v>
      </c>
      <c r="F28" t="str">
        <f>" "&amp;LEFTB(Sheet1!C25&amp;REPT(" ",$F$2),$F$2)</f>
        <v xml:space="preserve">                                                    </v>
      </c>
      <c r="G28" s="3" t="s">
        <v>0</v>
      </c>
      <c r="H28" t="str">
        <f>LEFTB(Sheet1!D25&amp;REPT(" ",$H$2),$H$2)</f>
        <v xml:space="preserve">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</v>
      </c>
      <c r="E29" s="3" t="s">
        <v>0</v>
      </c>
      <c r="F29" t="str">
        <f>" "&amp;LEFTB(Sheet1!C26&amp;REPT(" ",$F$2),$F$2)</f>
        <v xml:space="preserve">                                                    </v>
      </c>
      <c r="G29" s="3" t="s">
        <v>0</v>
      </c>
      <c r="H29" t="str">
        <f>LEFTB(Sheet1!D26&amp;REPT(" ",$H$2),$H$2)</f>
        <v xml:space="preserve">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</v>
      </c>
      <c r="E30" s="3" t="s">
        <v>0</v>
      </c>
      <c r="F30" t="str">
        <f>" "&amp;LEFTB(Sheet1!C27&amp;REPT(" ",$F$2),$F$2)</f>
        <v xml:space="preserve">                                                    </v>
      </c>
      <c r="G30" s="3" t="s">
        <v>0</v>
      </c>
      <c r="H30" t="str">
        <f>LEFTB(Sheet1!D27&amp;REPT(" ",$H$2),$H$2)</f>
        <v xml:space="preserve">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9F5F9-3C4F-4F38-821F-22FCE9E73653}">
  <dimension ref="A1:E12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18.81640625" bestFit="1" customWidth="1"/>
    <col min="3" max="3" width="50" bestFit="1" customWidth="1"/>
    <col min="4" max="4" width="17.269531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0.15972222222222221</v>
      </c>
    </row>
    <row r="3" spans="1:5">
      <c r="A3">
        <v>2</v>
      </c>
      <c r="B3" s="6" t="s">
        <v>11</v>
      </c>
      <c r="C3" s="6" t="s">
        <v>9</v>
      </c>
      <c r="D3" s="6" t="s">
        <v>10</v>
      </c>
      <c r="E3" s="5">
        <v>0.1701388888888889</v>
      </c>
    </row>
    <row r="4" spans="1:5">
      <c r="A4">
        <v>3</v>
      </c>
      <c r="B4" s="6" t="s">
        <v>12</v>
      </c>
      <c r="C4" s="6" t="s">
        <v>9</v>
      </c>
      <c r="D4" s="6" t="s">
        <v>10</v>
      </c>
      <c r="E4" s="5">
        <v>0.18819444444444444</v>
      </c>
    </row>
    <row r="5" spans="1:5">
      <c r="A5">
        <v>4</v>
      </c>
      <c r="B5" s="6" t="s">
        <v>13</v>
      </c>
      <c r="C5" s="6" t="s">
        <v>9</v>
      </c>
      <c r="D5" s="6" t="s">
        <v>10</v>
      </c>
      <c r="E5" s="5">
        <v>0.14374999999999999</v>
      </c>
    </row>
    <row r="6" spans="1:5">
      <c r="A6">
        <v>5</v>
      </c>
      <c r="B6" s="6" t="s">
        <v>14</v>
      </c>
      <c r="C6" s="6" t="s">
        <v>9</v>
      </c>
      <c r="D6" s="6" t="s">
        <v>10</v>
      </c>
      <c r="E6" s="5">
        <v>0.13541666666666666</v>
      </c>
    </row>
    <row r="7" spans="1:5">
      <c r="A7">
        <v>6</v>
      </c>
      <c r="B7" s="6" t="s">
        <v>15</v>
      </c>
      <c r="C7" s="6" t="s">
        <v>9</v>
      </c>
      <c r="D7" s="6" t="s">
        <v>10</v>
      </c>
      <c r="E7" s="5">
        <v>0.11041666666666666</v>
      </c>
    </row>
    <row r="8" spans="1:5">
      <c r="A8">
        <v>7</v>
      </c>
      <c r="B8" s="6" t="s">
        <v>16</v>
      </c>
      <c r="C8" s="6" t="s">
        <v>9</v>
      </c>
      <c r="D8" s="6" t="s">
        <v>10</v>
      </c>
      <c r="E8" s="5">
        <v>0.15277777777777779</v>
      </c>
    </row>
    <row r="9" spans="1:5">
      <c r="A9">
        <v>8</v>
      </c>
      <c r="B9" s="6" t="s">
        <v>17</v>
      </c>
      <c r="C9" s="6" t="s">
        <v>9</v>
      </c>
      <c r="D9" s="6" t="s">
        <v>10</v>
      </c>
      <c r="E9" s="5">
        <v>0.10277777777777777</v>
      </c>
    </row>
    <row r="10" spans="1:5">
      <c r="A10">
        <v>9</v>
      </c>
      <c r="B10" s="6" t="s">
        <v>18</v>
      </c>
      <c r="C10" s="6" t="s">
        <v>9</v>
      </c>
      <c r="D10" s="6" t="s">
        <v>10</v>
      </c>
      <c r="E10" s="5">
        <v>0.15486111111111112</v>
      </c>
    </row>
    <row r="11" spans="1:5">
      <c r="A11">
        <v>10</v>
      </c>
      <c r="B11" s="6" t="s">
        <v>19</v>
      </c>
      <c r="C11" s="6" t="s">
        <v>9</v>
      </c>
      <c r="D11" s="6" t="s">
        <v>10</v>
      </c>
      <c r="E11" s="5">
        <v>0.15972222222222221</v>
      </c>
    </row>
    <row r="12" spans="1:5">
      <c r="A12">
        <v>11</v>
      </c>
      <c r="B12" s="6" t="s">
        <v>20</v>
      </c>
      <c r="C12" s="6" t="s">
        <v>21</v>
      </c>
      <c r="D12" s="6" t="s">
        <v>10</v>
      </c>
      <c r="E12" s="5">
        <v>0.19583333333333333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317A0-AC48-42A4-ABC6-DF07CECB9CCC}">
  <dimension ref="E2:E12"/>
  <sheetViews>
    <sheetView workbookViewId="0"/>
  </sheetViews>
  <sheetFormatPr defaultRowHeight="19.8"/>
  <cols>
    <col min="1" max="1" width="11" bestFit="1" customWidth="1"/>
    <col min="2" max="2" width="12.90625" bestFit="1" customWidth="1"/>
    <col min="3" max="3" width="80.90625" bestFit="1" customWidth="1"/>
    <col min="4" max="4" width="33.54296875" bestFit="1" customWidth="1"/>
    <col min="5" max="5" width="7.8164062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Sheet2</vt:lpstr>
      <vt:lpstr>テーブル 5 (67)</vt:lpstr>
      <vt:lpstr>テーブル 5 (61)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2025-06-14T07:44:42Z</dcterms:modified>
</cp:coreProperties>
</file>