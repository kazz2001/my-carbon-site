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AE917DF7-BCCB-4A3A-B6E1-A859901E1D46}" xr6:coauthVersionLast="47" xr6:coauthVersionMax="47" xr10:uidLastSave="{00000000-0000-0000-0000-000000000000}"/>
  <bookViews>
    <workbookView xWindow="960" yWindow="780" windowWidth="22830" windowHeight="14700" activeTab="1" xr2:uid="{00000000-000D-0000-FFFF-FFFF00000000}"/>
  </bookViews>
  <sheets>
    <sheet name="Sheet1" sheetId="1" r:id="rId1"/>
    <sheet name="Sheet2" sheetId="2" r:id="rId2"/>
    <sheet name="テーブル 5 (37)" sheetId="58" r:id="rId3"/>
    <sheet name="テーブル 5 (33)" sheetId="56" r:id="rId4"/>
  </sheets>
  <definedNames>
    <definedName name="ExternalData_1" localSheetId="2" hidden="1">'テーブル 5 (37)'!$A$1:$E$19</definedName>
    <definedName name="ExternalData_2" localSheetId="0" hidden="1">Sheet1!$A$1:$E$19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2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13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14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15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16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<sst xmlns="http://schemas.openxmlformats.org/spreadsheetml/2006/main" count="288" uniqueCount="56">
  <si>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</si>
  <si>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</si>
  <si>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</si>
  <si>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</si>
  <si>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</si>
  <si>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</si>
  <si>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</si>
  <si>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</si>
  <si>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Hiss</t>
  </si>
  <si>
    <t>Joel Banks / Julian Mason / Megan Pete</t>
  </si>
  <si>
    <t>Megan Thee Stallion</t>
  </si>
  <si>
    <t>Rattle</t>
  </si>
  <si>
    <t>Julian Mason / Megan Pete / Bobby Sessions</t>
  </si>
  <si>
    <t>Figueroa</t>
  </si>
  <si>
    <t>Kelton Lanier Scott II / Julian Mason / Megan Pete</t>
  </si>
  <si>
    <t>Where Them Girls At</t>
  </si>
  <si>
    <t>Joe Fountain / Julian Mason / Megan Pete / Kordero Williams</t>
  </si>
  <si>
    <t>Broke His Heart</t>
  </si>
  <si>
    <t>Brytavious Chambers / Davis / Derrick Carrington Gray / Jordan Houston
                  / Jay Jenkins / Megan Pete / Jerome Temple</t>
  </si>
  <si>
    <t>B.A.S.</t>
  </si>
  <si>
    <t>Mary Brocket / Henry Fasheun / Julian Mason / Megan Pete</t>
  </si>
  <si>
    <t>Megan Thee Stallion feat. Kyle Richh</t>
  </si>
  <si>
    <t>Otaku Hot Girl</t>
  </si>
  <si>
    <t>Joel Banks / Taylor Banks / Megan Pete</t>
  </si>
  <si>
    <t>Find Out</t>
  </si>
  <si>
    <t>Stanley Clarke / Samuel Gloade / Samuel Lindley / Carl Mitchell / Megan
                  Pete / Dennis Round / Eric Sloan / Darnell Smith</t>
  </si>
  <si>
    <t>BOA</t>
  </si>
  <si>
    <t>Derrick Carrington Gray / Julian Mason / Linda Perry / Megan Pete / Gwen
                  Stefani</t>
  </si>
  <si>
    <t>Mamushi</t>
  </si>
  <si>
    <t>Yuki Chiba / Koshiro Ota / Megan Pete</t>
  </si>
  <si>
    <t>Megan Thee Stallion feat. Yuki Chiba</t>
  </si>
  <si>
    <t>Accent</t>
  </si>
  <si>
    <t>Joel Banks / Taylor Banks / Shawn Jarrett / Megan Pete / Benjamin Wilson
                  / Gloria Woods</t>
  </si>
  <si>
    <t>Megan Thee Stallion feat. Glorilla</t>
  </si>
  <si>
    <t>Paper Together</t>
  </si>
  <si>
    <t>Chad Butler / Bernard Freeman / Jordan Houston / Megan Pete / Kevin Price</t>
  </si>
  <si>
    <t>Megan Thee Stallion feat. UGK</t>
  </si>
  <si>
    <t>Spin</t>
  </si>
  <si>
    <t>Akeel Henry / Megan Pete</t>
  </si>
  <si>
    <t>Megan Thee Stallion feat. Victoria Monet</t>
  </si>
  <si>
    <t>Down Stairs DJ</t>
  </si>
  <si>
    <t>Carlton Mays Jr. / Megan Pete</t>
  </si>
  <si>
    <t>Miami Blue</t>
  </si>
  <si>
    <t>Tyron Douglas / Jacob Waddy Gayton / Megan Pete / J Scott</t>
  </si>
  <si>
    <t>Megan Thee Stallion feat. Big K.R.I.T, Buddah Bless</t>
  </si>
  <si>
    <t>Worthy</t>
  </si>
  <si>
    <t>Megan Pete</t>
  </si>
  <si>
    <t>Moody Girl</t>
  </si>
  <si>
    <t>Jordan Houston / Carl Martin / Megan Pete</t>
  </si>
  <si>
    <t>Cobra</t>
  </si>
  <si>
    <t>Taylor Banks / Stanley Clarke / Derrick Carrington Gray / Shawn Jarrett
                  / Megan Pete</t>
  </si>
  <si>
    <t>Brytavious Chambers / Davis / Derrick Carrington Gray / Jordan Houston                  / Jay Jenkins / Megan Pete / Jerome Temple</t>
    <phoneticPr fontId="1"/>
  </si>
  <si>
    <t>Stanley Clarke / Samuel Gloade / Samuel Lindley / Carl Mitchell / Megan                  Pete / Dennis Round / Eric Sloan / Darnell Smith</t>
    <phoneticPr fontId="1"/>
  </si>
  <si>
    <t>Derrick Carrington Gray / Julian Mason / Linda Perry / Megan Pete / Gwen                  Stefani</t>
    <phoneticPr fontId="1"/>
  </si>
  <si>
    <t>Joel Banks / Taylor Banks / Shawn Jarrett / Megan Pete / Benjamin Wilson                  / Gloria Woods</t>
    <phoneticPr fontId="1"/>
  </si>
  <si>
    <t>Taylor Banks / Stanley Clarke / Derrick Carrington Gray / Shawn Jarrett                  / Megan Pete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</si>
</sst>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0" xr16:uid="{7D0DA8D9-A942-45B5-9638-4211131ABDFC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9" xr16:uid="{70AA1199-B2CA-445B-BA55-B30C6BB3D71F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CEC201-6A46-4275-B479-272A75BF546C}" name="テーブル_5__373" displayName="テーブル_5__373" ref="A1:E19" tableType="queryTable" totalsRowShown="0">
  <autoFilter ref="A1:E19" xr:uid="{DECEC201-6A46-4275-B479-272A75BF546C}"/>
  <tableColumns count="5">
    <tableColumn id="1" xr3:uid="{7EDFBF83-B9F0-451E-82AB-6CF5B3418349}" uniqueName="1" name="Column1" queryTableFieldId="1"/>
    <tableColumn id="2" xr3:uid="{91D52CA5-2DC0-4DC8-8EA7-BB3048DB6B04}" uniqueName="2" name="Title" queryTableFieldId="2" dataDxfId="3"/>
    <tableColumn id="3" xr3:uid="{ACBC86C8-C364-4A27-A108-F428AF2EA0C5}" uniqueName="3" name="Composer" queryTableFieldId="3" dataDxfId="2"/>
    <tableColumn id="4" xr3:uid="{7D0B5B48-5272-4191-B543-4798924F296D}" uniqueName="4" name="Performer" queryTableFieldId="4" dataDxfId="1"/>
    <tableColumn id="5" xr3:uid="{B0F7F059-CA94-4D15-BC00-67A5312C2F67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FCB296-7E20-4F65-B1E0-0FF52773323D}" name="テーブル_5__37" displayName="テーブル_5__37" ref="A1:E19" tableType="queryTable" totalsRowShown="0">
  <autoFilter ref="A1:E19" xr:uid="{68FCB296-7E20-4F65-B1E0-0FF52773323D}"/>
  <tableColumns count="5">
    <tableColumn id="1" xr3:uid="{936EF50C-AC1E-44C5-AFA6-8AA8C3FA18B1}" uniqueName="1" name="Column1" queryTableFieldId="1"/>
    <tableColumn id="2" xr3:uid="{573A0082-37A1-43B7-AE83-FEB321D7AB3C}" uniqueName="2" name="Title" queryTableFieldId="2" dataDxfId="7"/>
    <tableColumn id="3" xr3:uid="{6E0938EF-FE95-4358-86D6-464B85ED73E9}" uniqueName="3" name="Composer" queryTableFieldId="3" dataDxfId="6"/>
    <tableColumn id="4" xr3:uid="{6C6C316C-A848-4FDC-AF7C-5D7F9F87E523}" uniqueName="4" name="Performer" queryTableFieldId="4" dataDxfId="5"/>
    <tableColumn id="5" xr3:uid="{79A5E56F-BC11-443B-A991-2E6C3DAC2DDA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workbookViewId="0">
      <selection activeCell="C20" sqref="C20"/>
    </sheetView>
  </sheetViews>
  <sheetFormatPr defaultRowHeight="19.5"/>
  <cols>
    <col min="1" max="1" width="11" bestFit="1" customWidth="1"/>
    <col min="2" max="2" width="19.6640625" bestFit="1" customWidth="1"/>
    <col min="3" max="3" width="80.88671875" bestFit="1" customWidth="1"/>
    <col min="4" max="4" width="47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0.13333333333333333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0.1423611111111111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9.930555555555555E-2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0.13263888888888889</v>
      </c>
    </row>
    <row r="6" spans="1:5">
      <c r="A6">
        <v>5</v>
      </c>
      <c r="B6" s="6" t="s">
        <v>17</v>
      </c>
      <c r="C6" s="6" t="s">
        <v>51</v>
      </c>
      <c r="D6" s="6" t="s">
        <v>10</v>
      </c>
      <c r="E6" s="5">
        <v>0.11041666666666666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0.14305555555555555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0.10972222222222222</v>
      </c>
    </row>
    <row r="9" spans="1:5">
      <c r="A9">
        <v>8</v>
      </c>
      <c r="B9" s="6" t="s">
        <v>24</v>
      </c>
      <c r="C9" s="6" t="s">
        <v>52</v>
      </c>
      <c r="D9" s="6" t="s">
        <v>10</v>
      </c>
      <c r="E9" s="5">
        <v>0.1076388888888889</v>
      </c>
    </row>
    <row r="10" spans="1:5">
      <c r="A10">
        <v>9</v>
      </c>
      <c r="B10" s="6" t="s">
        <v>26</v>
      </c>
      <c r="C10" s="6" t="s">
        <v>53</v>
      </c>
      <c r="D10" s="6" t="s">
        <v>10</v>
      </c>
      <c r="E10" s="5">
        <v>0.10694444444444444</v>
      </c>
    </row>
    <row r="11" spans="1:5">
      <c r="A11">
        <v>10</v>
      </c>
      <c r="B11" s="6" t="s">
        <v>28</v>
      </c>
      <c r="C11" s="6" t="s">
        <v>29</v>
      </c>
      <c r="D11" s="6" t="s">
        <v>30</v>
      </c>
      <c r="E11" s="5">
        <v>0.10833333333333334</v>
      </c>
    </row>
    <row r="12" spans="1:5">
      <c r="A12">
        <v>11</v>
      </c>
      <c r="B12" s="6" t="s">
        <v>31</v>
      </c>
      <c r="C12" s="6" t="s">
        <v>54</v>
      </c>
      <c r="D12" s="6" t="s">
        <v>33</v>
      </c>
      <c r="E12" s="5">
        <v>0.13819444444444445</v>
      </c>
    </row>
    <row r="13" spans="1:5">
      <c r="A13">
        <v>12</v>
      </c>
      <c r="B13" s="6" t="s">
        <v>34</v>
      </c>
      <c r="C13" s="6" t="s">
        <v>35</v>
      </c>
      <c r="D13" s="6" t="s">
        <v>36</v>
      </c>
      <c r="E13" s="5">
        <v>0.14930555555555555</v>
      </c>
    </row>
    <row r="14" spans="1:5">
      <c r="A14">
        <v>13</v>
      </c>
      <c r="B14" s="6" t="s">
        <v>37</v>
      </c>
      <c r="C14" s="6" t="s">
        <v>38</v>
      </c>
      <c r="D14" s="6" t="s">
        <v>39</v>
      </c>
      <c r="E14" s="5">
        <v>0.12986111111111112</v>
      </c>
    </row>
    <row r="15" spans="1:5">
      <c r="A15">
        <v>14</v>
      </c>
      <c r="B15" s="6" t="s">
        <v>40</v>
      </c>
      <c r="C15" s="6" t="s">
        <v>41</v>
      </c>
      <c r="D15" s="6" t="s">
        <v>10</v>
      </c>
      <c r="E15" s="5">
        <v>0.11319444444444444</v>
      </c>
    </row>
    <row r="16" spans="1:5">
      <c r="A16">
        <v>15</v>
      </c>
      <c r="B16" s="6" t="s">
        <v>42</v>
      </c>
      <c r="C16" s="6" t="s">
        <v>43</v>
      </c>
      <c r="D16" s="6" t="s">
        <v>44</v>
      </c>
      <c r="E16" s="5">
        <v>0.10902777777777778</v>
      </c>
    </row>
    <row r="17" spans="1:5">
      <c r="A17">
        <v>16</v>
      </c>
      <c r="B17" s="6" t="s">
        <v>45</v>
      </c>
      <c r="C17" s="6" t="s">
        <v>46</v>
      </c>
      <c r="D17" s="6" t="s">
        <v>10</v>
      </c>
      <c r="E17" s="5">
        <v>9.6527777777777782E-2</v>
      </c>
    </row>
    <row r="18" spans="1:5">
      <c r="A18">
        <v>17</v>
      </c>
      <c r="B18" s="6" t="s">
        <v>47</v>
      </c>
      <c r="C18" s="6" t="s">
        <v>48</v>
      </c>
      <c r="D18" s="6" t="s">
        <v>10</v>
      </c>
      <c r="E18" s="5">
        <v>0.11597222222222223</v>
      </c>
    </row>
    <row r="19" spans="1:5">
      <c r="A19">
        <v>18</v>
      </c>
      <c r="B19" s="6" t="s">
        <v>49</v>
      </c>
      <c r="C19" s="6" t="s">
        <v>55</v>
      </c>
      <c r="D19" s="6" t="s">
        <v>10</v>
      </c>
      <c r="E19" s="5">
        <v>0.11666666666666667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22" sqref="A3:K22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19</v>
      </c>
      <c r="F2" s="1">
        <f t="array" ref="F2">MAX(LENB(Sheet1!C1:'Sheet1'!C30))</f>
        <v>137</v>
      </c>
      <c r="H2" s="1">
        <f t="array" ref="H2">MAX(LENB(Sheet1!D1:'Sheet1'!D30))</f>
        <v>51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Hiss               </v>
      </c>
      <c r="E5" s="3" t="s">
        <v>0</v>
      </c>
      <c r="F5" t="str">
        <f>" "&amp;LEFTB(Sheet1!C2&amp;REPT(" ",$F$2),$F$2)</f>
        <v xml:space="preserve"> Joel Banks / Julian Mason / Megan Pete                                                                                                   </v>
      </c>
      <c r="G5" s="3" t="s">
        <v>0</v>
      </c>
      <c r="H5" t="str">
        <f>LEFTB(Sheet1!D2&amp;REPT(" ",$H$2),$H$2)</f>
        <v xml:space="preserve">Megan Thee Stallion                                </v>
      </c>
      <c r="I5" s="3" t="s">
        <v>0</v>
      </c>
      <c r="J5" s="2" t="str">
        <f>TEXT(Sheet1!E2,"HH:MM")&amp;" "</f>
        <v xml:space="preserve">03:12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Rattle             </v>
      </c>
      <c r="E6" s="3" t="s">
        <v>0</v>
      </c>
      <c r="F6" t="str">
        <f>" "&amp;LEFTB(Sheet1!C3&amp;REPT(" ",$F$2),$F$2)</f>
        <v xml:space="preserve"> Julian Mason / Megan Pete / Bobby Sessions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Megan Thee Stallion                                </v>
      </c>
      <c r="I6" s="3" t="s">
        <v>0</v>
      </c>
      <c r="J6" s="2" t="str">
        <f>TEXT(Sheet1!E3,"HH:MM")&amp;" "</f>
        <v xml:space="preserve">03:25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Figueroa           </v>
      </c>
      <c r="E7" s="3" t="s">
        <v>0</v>
      </c>
      <c r="F7" t="str">
        <f>" "&amp;LEFTB(Sheet1!C4&amp;REPT(" ",$F$2),$F$2)</f>
        <v xml:space="preserve"> Kelton Lanier Scott II / Julian Mason / Megan Pete                                                                                       </v>
      </c>
      <c r="G7" s="3" t="s">
        <v>0</v>
      </c>
      <c r="H7" t="str">
        <f>LEFTB(Sheet1!D4&amp;REPT(" ",$H$2),$H$2)</f>
        <v xml:space="preserve">Megan Thee Stallion                                </v>
      </c>
      <c r="I7" s="3" t="s">
        <v>0</v>
      </c>
      <c r="J7" s="2" t="str">
        <f>TEXT(Sheet1!E4,"HH:MM")&amp;" "</f>
        <v xml:space="preserve">02:23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>Where Them Girls At</v>
      </c>
      <c r="E8" s="3" t="s">
        <v>0</v>
      </c>
      <c r="F8" t="str">
        <f>" "&amp;LEFTB(Sheet1!C5&amp;REPT(" ",$F$2),$F$2)</f>
        <v xml:space="preserve"> Joe Fountain / Julian Mason / Megan Pete / Kordero Williams                                                                              </v>
      </c>
      <c r="G8" s="3" t="s">
        <v>0</v>
      </c>
      <c r="H8" t="str">
        <f>LEFTB(Sheet1!D5&amp;REPT(" ",$H$2),$H$2)</f>
        <v xml:space="preserve">Megan Thee Stallion                                </v>
      </c>
      <c r="I8" s="3" t="s">
        <v>0</v>
      </c>
      <c r="J8" s="2" t="str">
        <f>TEXT(Sheet1!E5,"HH:MM")&amp;" "</f>
        <v xml:space="preserve">03:11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Broke His Heart    </v>
      </c>
      <c r="E9" s="3" t="s">
        <v>0</v>
      </c>
      <c r="F9" t="str">
        <f>" "&amp;LEFTB(Sheet1!C6&amp;REPT(" ",$F$2),$F$2)</f>
        <v xml:space="preserve"> Brytavious Chambers / Davis / Derrick Carrington Gray / Jordan Houston                  / Jay Jenkins / Megan Pete / Jerome Temple       </v>
      </c>
      <c r="G9" s="3" t="s">
        <v>0</v>
      </c>
      <c r="H9" t="str">
        <f>LEFTB(Sheet1!D6&amp;REPT(" ",$H$2),$H$2)</f>
        <v xml:space="preserve">Megan Thee Stallion                                </v>
      </c>
      <c r="I9" s="3" t="s">
        <v>0</v>
      </c>
      <c r="J9" s="2" t="str">
        <f>TEXT(Sheet1!E6,"HH:MM")&amp;" "</f>
        <v xml:space="preserve">02:39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B.A.S.             </v>
      </c>
      <c r="E10" s="3" t="s">
        <v>0</v>
      </c>
      <c r="F10" t="str">
        <f>" "&amp;LEFTB(Sheet1!C7&amp;REPT(" ",$F$2),$F$2)</f>
        <v xml:space="preserve"> Mary Brocket / Henry Fasheun / Julian Mason / Megan Pete                                                                                 </v>
      </c>
      <c r="G10" s="3" t="s">
        <v>0</v>
      </c>
      <c r="H10" t="str">
        <f>LEFTB(Sheet1!D7&amp;REPT(" ",$H$2),$H$2)</f>
        <v xml:space="preserve">Megan Thee Stallion feat. Kyle Richh               </v>
      </c>
      <c r="I10" s="3" t="s">
        <v>0</v>
      </c>
      <c r="J10" s="2" t="str">
        <f>TEXT(Sheet1!E7,"HH:MM")&amp;" "</f>
        <v xml:space="preserve">03:26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Otaku Hot Girl     </v>
      </c>
      <c r="E11" s="3" t="s">
        <v>0</v>
      </c>
      <c r="F11" t="str">
        <f>" "&amp;LEFTB(Sheet1!C8&amp;REPT(" ",$F$2),$F$2)</f>
        <v xml:space="preserve"> Joel Banks / Taylor Banks / Megan Pete    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Megan Thee Stallion                                </v>
      </c>
      <c r="I11" s="3" t="s">
        <v>0</v>
      </c>
      <c r="J11" s="2" t="str">
        <f>TEXT(Sheet1!E8,"HH:MM")&amp;" "</f>
        <v xml:space="preserve">02:38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Find Out           </v>
      </c>
      <c r="E12" s="3" t="s">
        <v>0</v>
      </c>
      <c r="F12" t="str">
        <f>" "&amp;LEFTB(Sheet1!C9&amp;REPT(" ",$F$2),$F$2)</f>
        <v xml:space="preserve"> Stanley Clarke / Samuel Gloade / Samuel Lindley / Carl Mitchell / Megan                  Pete / Dennis Round / Eric Sloan / Darnell Smith</v>
      </c>
      <c r="G12" s="3" t="s">
        <v>0</v>
      </c>
      <c r="H12" t="str">
        <f>LEFTB(Sheet1!D9&amp;REPT(" ",$H$2),$H$2)</f>
        <v xml:space="preserve">Megan Thee Stallion                                </v>
      </c>
      <c r="I12" s="3" t="s">
        <v>0</v>
      </c>
      <c r="J12" s="2" t="str">
        <f>TEXT(Sheet1!E9,"HH:MM")&amp;" "</f>
        <v xml:space="preserve">02:35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BOA                </v>
      </c>
      <c r="E13" s="3" t="s">
        <v>0</v>
      </c>
      <c r="F13" t="str">
        <f>" "&amp;LEFTB(Sheet1!C10&amp;REPT(" ",$F$2),$F$2)</f>
        <v xml:space="preserve"> Derrick Carrington Gray / Julian Mason / Linda Perry / Megan Pete / Gwen                  Stefani                                        </v>
      </c>
      <c r="G13" s="3" t="s">
        <v>0</v>
      </c>
      <c r="H13" t="str">
        <f>LEFTB(Sheet1!D10&amp;REPT(" ",$H$2),$H$2)</f>
        <v xml:space="preserve">Megan Thee Stallion                                </v>
      </c>
      <c r="I13" s="3" t="s">
        <v>0</v>
      </c>
      <c r="J13" s="2" t="str">
        <f>TEXT(Sheet1!E10,"HH:MM")&amp;" "</f>
        <v xml:space="preserve">02:34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Mamushi            </v>
      </c>
      <c r="E14" s="3" t="s">
        <v>0</v>
      </c>
      <c r="F14" t="str">
        <f>" "&amp;LEFTB(Sheet1!C11&amp;REPT(" ",$F$2),$F$2)</f>
        <v xml:space="preserve"> Yuki Chiba / Koshiro Ota / Megan Pete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Megan Thee Stallion feat. Yuki Chiba               </v>
      </c>
      <c r="I14" s="3" t="s">
        <v>0</v>
      </c>
      <c r="J14" s="2" t="str">
        <f>TEXT(Sheet1!E11,"HH:MM")&amp;" "</f>
        <v xml:space="preserve">02:36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Accent             </v>
      </c>
      <c r="E15" s="3" t="s">
        <v>0</v>
      </c>
      <c r="F15" t="str">
        <f>" "&amp;LEFTB(Sheet1!C12&amp;REPT(" ",$F$2),$F$2)</f>
        <v xml:space="preserve"> Joel Banks / Taylor Banks / Shawn Jarrett / Megan Pete / Benjamin Wilson                  / Gloria Woods                                 </v>
      </c>
      <c r="G15" s="3" t="s">
        <v>0</v>
      </c>
      <c r="H15" t="str">
        <f>LEFTB(Sheet1!D12&amp;REPT(" ",$H$2),$H$2)</f>
        <v xml:space="preserve">Megan Thee Stallion feat. Glorilla                 </v>
      </c>
      <c r="I15" s="3" t="s">
        <v>0</v>
      </c>
      <c r="J15" s="2" t="str">
        <f>TEXT(Sheet1!E12,"HH:MM")&amp;" "</f>
        <v xml:space="preserve">03:19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Paper Together     </v>
      </c>
      <c r="E16" s="3" t="s">
        <v>0</v>
      </c>
      <c r="F16" t="str">
        <f>" "&amp;LEFTB(Sheet1!C13&amp;REPT(" ",$F$2),$F$2)</f>
        <v xml:space="preserve"> Chad Butler / Bernard Freeman / Jordan Houston / Megan Pete / Kevin Price                                                                </v>
      </c>
      <c r="G16" s="3" t="s">
        <v>0</v>
      </c>
      <c r="H16" t="str">
        <f>LEFTB(Sheet1!D13&amp;REPT(" ",$H$2),$H$2)</f>
        <v xml:space="preserve">Megan Thee Stallion feat. UGK                      </v>
      </c>
      <c r="I16" s="3" t="s">
        <v>0</v>
      </c>
      <c r="J16" s="2" t="str">
        <f>TEXT(Sheet1!E13,"HH:MM")&amp;" "</f>
        <v xml:space="preserve">03:35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Spin               </v>
      </c>
      <c r="E17" s="3" t="s">
        <v>0</v>
      </c>
      <c r="F17" t="str">
        <f>" "&amp;LEFTB(Sheet1!C14&amp;REPT(" ",$F$2),$F$2)</f>
        <v xml:space="preserve"> Akeel Henry / Megan Pete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Megan Thee Stallion feat. Victoria Monet           </v>
      </c>
      <c r="I17" s="3" t="s">
        <v>0</v>
      </c>
      <c r="J17" s="2" t="str">
        <f>TEXT(Sheet1!E14,"HH:MM")&amp;" "</f>
        <v xml:space="preserve">03:07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Down Stairs DJ     </v>
      </c>
      <c r="E18" s="3" t="s">
        <v>0</v>
      </c>
      <c r="F18" t="str">
        <f>" "&amp;LEFTB(Sheet1!C15&amp;REPT(" ",$F$2),$F$2)</f>
        <v xml:space="preserve"> Carlton Mays Jr. / Megan Pete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Megan Thee Stallion                                </v>
      </c>
      <c r="I18" s="3" t="s">
        <v>0</v>
      </c>
      <c r="J18" s="2" t="str">
        <f>TEXT(Sheet1!E15,"HH:MM")&amp;" "</f>
        <v xml:space="preserve">02:43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Miami Blue         </v>
      </c>
      <c r="E19" s="3" t="s">
        <v>0</v>
      </c>
      <c r="F19" t="str">
        <f>" "&amp;LEFTB(Sheet1!C16&amp;REPT(" ",$F$2),$F$2)</f>
        <v xml:space="preserve"> Tyron Douglas / Jacob Waddy Gayton / Megan Pete / J Scott                                                                                </v>
      </c>
      <c r="G19" s="3" t="s">
        <v>0</v>
      </c>
      <c r="H19" t="str">
        <f>LEFTB(Sheet1!D16&amp;REPT(" ",$H$2),$H$2)</f>
        <v>Megan Thee Stallion feat. Big K.R.I.T, Buddah Bless</v>
      </c>
      <c r="I19" s="3" t="s">
        <v>0</v>
      </c>
      <c r="J19" s="2" t="str">
        <f>TEXT(Sheet1!E16,"HH:MM")&amp;" "</f>
        <v xml:space="preserve">02:37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Worthy             </v>
      </c>
      <c r="E20" s="3" t="s">
        <v>0</v>
      </c>
      <c r="F20" t="str">
        <f>" "&amp;LEFTB(Sheet1!C17&amp;REPT(" ",$F$2),$F$2)</f>
        <v xml:space="preserve"> Megan Pete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Megan Thee Stallion                                </v>
      </c>
      <c r="I20" s="3" t="s">
        <v>0</v>
      </c>
      <c r="J20" s="2" t="str">
        <f>TEXT(Sheet1!E17,"HH:MM")&amp;" "</f>
        <v xml:space="preserve">02:19 </v>
      </c>
      <c r="K20" s="3" t="s">
        <v>0</v>
      </c>
    </row>
    <row r="21" spans="1:11">
      <c r="A21" t="s">
        <v>0</v>
      </c>
      <c r="B21">
        <f>Sheet1!A18</f>
        <v>17</v>
      </c>
      <c r="C21" s="3" t="s">
        <v>0</v>
      </c>
      <c r="D21" t="str">
        <f>LEFTB(Sheet1!B18&amp;REPT(" ",$D$2),$D$2)</f>
        <v xml:space="preserve">Moody Girl         </v>
      </c>
      <c r="E21" s="3" t="s">
        <v>0</v>
      </c>
      <c r="F21" t="str">
        <f>" "&amp;LEFTB(Sheet1!C18&amp;REPT(" ",$F$2),$F$2)</f>
        <v xml:space="preserve"> Jordan Houston / Carl Martin / Megan Pete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Megan Thee Stallion                                </v>
      </c>
      <c r="I21" s="3" t="s">
        <v>0</v>
      </c>
      <c r="J21" s="2" t="str">
        <f>TEXT(Sheet1!E18,"HH:MM")&amp;" "</f>
        <v xml:space="preserve">02:47 </v>
      </c>
      <c r="K21" s="3" t="s">
        <v>0</v>
      </c>
    </row>
    <row r="22" spans="1:11">
      <c r="A22" t="s">
        <v>0</v>
      </c>
      <c r="B22">
        <f>Sheet1!A19</f>
        <v>18</v>
      </c>
      <c r="C22" s="3" t="s">
        <v>0</v>
      </c>
      <c r="D22" t="str">
        <f>LEFTB(Sheet1!B19&amp;REPT(" ",$D$2),$D$2)</f>
        <v xml:space="preserve">Cobra              </v>
      </c>
      <c r="E22" s="3" t="s">
        <v>0</v>
      </c>
      <c r="F22" t="str">
        <f>" "&amp;LEFTB(Sheet1!C19&amp;REPT(" ",$F$2),$F$2)</f>
        <v xml:space="preserve"> Taylor Banks / Stanley Clarke / Derrick Carrington Gray / Shawn Jarrett                  / Megan Pete                                    </v>
      </c>
      <c r="G22" s="3" t="s">
        <v>0</v>
      </c>
      <c r="H22" t="str">
        <f>LEFTB(Sheet1!D19&amp;REPT(" ",$H$2),$H$2)</f>
        <v xml:space="preserve">Megan Thee Stallion                                </v>
      </c>
      <c r="I22" s="3" t="s">
        <v>0</v>
      </c>
      <c r="J22" s="2" t="str">
        <f>TEXT(Sheet1!E19,"HH:MM")&amp;" "</f>
        <v xml:space="preserve">02:48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41A06-57E4-4C24-B33A-FEF678AE0C72}">
  <dimension ref="A1:E19"/>
  <sheetViews>
    <sheetView workbookViewId="0">
      <selection sqref="A1:XFD1048576"/>
    </sheetView>
  </sheetViews>
  <sheetFormatPr defaultRowHeight="19.5"/>
  <cols>
    <col min="1" max="1" width="11" bestFit="1" customWidth="1"/>
    <col min="2" max="2" width="19.6640625" bestFit="1" customWidth="1"/>
    <col min="3" max="3" width="80.88671875" bestFit="1" customWidth="1"/>
    <col min="4" max="4" width="47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0.13333333333333333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0.1423611111111111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9.930555555555555E-2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0.13263888888888889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0.11041666666666666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0.14305555555555555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0.10972222222222222</v>
      </c>
    </row>
    <row r="9" spans="1:5">
      <c r="A9">
        <v>8</v>
      </c>
      <c r="B9" s="6" t="s">
        <v>24</v>
      </c>
      <c r="C9" s="6" t="s">
        <v>25</v>
      </c>
      <c r="D9" s="6" t="s">
        <v>10</v>
      </c>
      <c r="E9" s="5">
        <v>0.1076388888888889</v>
      </c>
    </row>
    <row r="10" spans="1:5">
      <c r="A10">
        <v>9</v>
      </c>
      <c r="B10" s="6" t="s">
        <v>26</v>
      </c>
      <c r="C10" s="6" t="s">
        <v>27</v>
      </c>
      <c r="D10" s="6" t="s">
        <v>10</v>
      </c>
      <c r="E10" s="5">
        <v>0.10694444444444444</v>
      </c>
    </row>
    <row r="11" spans="1:5">
      <c r="A11">
        <v>10</v>
      </c>
      <c r="B11" s="6" t="s">
        <v>28</v>
      </c>
      <c r="C11" s="6" t="s">
        <v>29</v>
      </c>
      <c r="D11" s="6" t="s">
        <v>30</v>
      </c>
      <c r="E11" s="5">
        <v>0.10833333333333334</v>
      </c>
    </row>
    <row r="12" spans="1:5">
      <c r="A12">
        <v>11</v>
      </c>
      <c r="B12" s="6" t="s">
        <v>31</v>
      </c>
      <c r="C12" s="6" t="s">
        <v>32</v>
      </c>
      <c r="D12" s="6" t="s">
        <v>33</v>
      </c>
      <c r="E12" s="5">
        <v>0.13819444444444445</v>
      </c>
    </row>
    <row r="13" spans="1:5">
      <c r="A13">
        <v>12</v>
      </c>
      <c r="B13" s="6" t="s">
        <v>34</v>
      </c>
      <c r="C13" s="6" t="s">
        <v>35</v>
      </c>
      <c r="D13" s="6" t="s">
        <v>36</v>
      </c>
      <c r="E13" s="5">
        <v>0.14930555555555555</v>
      </c>
    </row>
    <row r="14" spans="1:5">
      <c r="A14">
        <v>13</v>
      </c>
      <c r="B14" s="6" t="s">
        <v>37</v>
      </c>
      <c r="C14" s="6" t="s">
        <v>38</v>
      </c>
      <c r="D14" s="6" t="s">
        <v>39</v>
      </c>
      <c r="E14" s="5">
        <v>0.12986111111111112</v>
      </c>
    </row>
    <row r="15" spans="1:5">
      <c r="A15">
        <v>14</v>
      </c>
      <c r="B15" s="6" t="s">
        <v>40</v>
      </c>
      <c r="C15" s="6" t="s">
        <v>41</v>
      </c>
      <c r="D15" s="6" t="s">
        <v>10</v>
      </c>
      <c r="E15" s="5">
        <v>0.11319444444444444</v>
      </c>
    </row>
    <row r="16" spans="1:5">
      <c r="A16">
        <v>15</v>
      </c>
      <c r="B16" s="6" t="s">
        <v>42</v>
      </c>
      <c r="C16" s="6" t="s">
        <v>43</v>
      </c>
      <c r="D16" s="6" t="s">
        <v>44</v>
      </c>
      <c r="E16" s="5">
        <v>0.10902777777777778</v>
      </c>
    </row>
    <row r="17" spans="1:5">
      <c r="A17">
        <v>16</v>
      </c>
      <c r="B17" s="6" t="s">
        <v>45</v>
      </c>
      <c r="C17" s="6" t="s">
        <v>46</v>
      </c>
      <c r="D17" s="6" t="s">
        <v>10</v>
      </c>
      <c r="E17" s="5">
        <v>9.6527777777777782E-2</v>
      </c>
    </row>
    <row r="18" spans="1:5">
      <c r="A18">
        <v>17</v>
      </c>
      <c r="B18" s="6" t="s">
        <v>47</v>
      </c>
      <c r="C18" s="6" t="s">
        <v>48</v>
      </c>
      <c r="D18" s="6" t="s">
        <v>10</v>
      </c>
      <c r="E18" s="5">
        <v>0.11597222222222223</v>
      </c>
    </row>
    <row r="19" spans="1:5">
      <c r="A19">
        <v>18</v>
      </c>
      <c r="B19" s="6" t="s">
        <v>49</v>
      </c>
      <c r="C19" s="6" t="s">
        <v>50</v>
      </c>
      <c r="D19" s="6" t="s">
        <v>10</v>
      </c>
      <c r="E19" s="5">
        <v>0.11666666666666667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F7BB-8118-4B05-86C6-5011E8B575A6}">
  <dimension ref="E2:E13"/>
  <sheetViews>
    <sheetView workbookViewId="0"/>
  </sheetViews>
  <sheetFormatPr defaultRowHeight="19.5"/>
  <cols>
    <col min="1" max="1" width="6.21875" bestFit="1" customWidth="1"/>
    <col min="2" max="2" width="17.6640625" bestFit="1" customWidth="1"/>
    <col min="3" max="3" width="52.5546875" bestFit="1" customWidth="1"/>
    <col min="4" max="4" width="58.1093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テーブル 5 (37)</vt:lpstr>
      <vt:lpstr>テーブル 5 (33)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2025-02-22T10:46:02Z</dcterms:modified>
</cp:coreProperties>
</file>