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64339FA9-BE90-42AA-851A-16AB665B9B5A}" xr6:coauthVersionLast="47" xr6:coauthVersionMax="47" xr10:uidLastSave="{00000000-0000-0000-0000-000000000000}"/>
  <bookViews>
    <workbookView xWindow="0" yWindow="570" windowWidth="27210" windowHeight="14910" activeTab="1" xr2:uid="{00000000-000D-0000-FFFF-FFFF00000000}"/>
  </bookViews>
  <sheets>
    <sheet name="Sheet1" sheetId="1" r:id="rId1"/>
    <sheet name="Sheet2" sheetId="2" r:id="rId2"/>
    <sheet name="Table 3 (79)" sheetId="39" r:id="rId3"/>
    <sheet name="Table 3 (77)" sheetId="38" r:id="rId4"/>
  </sheets>
  <definedNames>
    <definedName name="ExternalData_1" localSheetId="2" hidden="1">'Table 3 (79)'!$A$1:$E$16</definedName>
    <definedName name="ExternalData_2" localSheetId="0" hidden="1">Sheet1!$A$1:$E$16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</connections>
</file>

<file path=xl/sharedStrings.xml><?xml version="1.0" encoding="utf-8"?>
<sst xmlns="http://schemas.openxmlformats.org/spreadsheetml/2006/main" count="270" uniqueCount="38">
  <si>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</si>
  <si>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</si>
  <si>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</si>
  <si>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</si>
  <si>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</si>
  <si>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</si>
  <si>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</si>
  <si>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</si>
  <si>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Introduction</t>
  </si>
  <si>
    <t>Austin Lichtenstein, Pete Miller</t>
  </si>
  <si>
    <t>RAYE</t>
  </si>
  <si>
    <t>Oscar Winning Tears</t>
  </si>
  <si>
    <t>RAYE, Mike Sabath</t>
  </si>
  <si>
    <t>Hard Out Here</t>
  </si>
  <si>
    <t>Brandon Colbein, RAYE, Mike Sabath, Justin Tranter</t>
  </si>
  <si>
    <t>Black Mascara</t>
  </si>
  <si>
    <t>William Martyn Morris Lansley, Johan Morgan, RAYE</t>
  </si>
  <si>
    <t>Escapism</t>
  </si>
  <si>
    <t>RAYE, Mike Sabath, 070 Shake</t>
  </si>
  <si>
    <t>RAYE feat. 070 Shake</t>
  </si>
  <si>
    <t>Mary Jane</t>
  </si>
  <si>
    <t>The Thrill Is Gone.</t>
  </si>
  <si>
    <t>Anton Goransson, RAYE, Mike Sabath, Isabella Sj?strand</t>
  </si>
  <si>
    <t>Ice Cream Man</t>
  </si>
  <si>
    <t>RAYE, Mike Sabath, Michael Tucker</t>
  </si>
  <si>
    <t>Flip a Switch</t>
  </si>
  <si>
    <t>Stephen McGregor, RAYE</t>
  </si>
  <si>
    <t>Body Dysmorphia</t>
  </si>
  <si>
    <t>Environmental Anxiety</t>
  </si>
  <si>
    <t>Jenna Felsenthal, RAYE, Mike Sabath</t>
  </si>
  <si>
    <t>Five Star Hotels</t>
  </si>
  <si>
    <t>Eddie Benjamin, Kennedi Lykken, Mahalia, RAYE, Mike Sabath</t>
  </si>
  <si>
    <t>RAYE feat. Mahalia</t>
  </si>
  <si>
    <t>Worth It</t>
  </si>
  <si>
    <t>John Hill, Akil King, RAYE, Mike Sabath</t>
  </si>
  <si>
    <t>Buss It Down</t>
  </si>
  <si>
    <t>Eyelar Mirzazadeh, RAYE, Mike Sabath, Antoinette Smith</t>
  </si>
  <si>
    <t>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</si>
</sst>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7" xr16:uid="{8721FE71-13B0-4A0F-AE45-76CD901E133F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6DECEE29-C62C-4A2D-89C9-A7352CCE72D9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C1E2B72-57A7-47B2-B33D-69C57D3E73E9}" name="Table_3__797" displayName="Table_3__797" ref="A1:E16" tableType="queryTable" totalsRowShown="0">
  <autoFilter ref="A1:E16" xr:uid="{5C1E2B72-57A7-47B2-B33D-69C57D3E73E9}"/>
  <tableColumns count="5">
    <tableColumn id="1" xr3:uid="{98AB2273-31D2-4BCF-8B92-94A754D2E9BD}" uniqueName="1" name="Column1" queryTableFieldId="1"/>
    <tableColumn id="2" xr3:uid="{F5790355-FF1C-4373-87F5-2A6BF5A5E797}" uniqueName="2" name="Title" queryTableFieldId="2" dataDxfId="3"/>
    <tableColumn id="3" xr3:uid="{2A404CAE-1D58-44C2-A907-F36F6D7EFE88}" uniqueName="3" name="Composer" queryTableFieldId="3" dataDxfId="2"/>
    <tableColumn id="4" xr3:uid="{74778332-570A-4115-A033-0EA64C7A8137}" uniqueName="4" name="Performer" queryTableFieldId="4" dataDxfId="1"/>
    <tableColumn id="5" xr3:uid="{CFC7C817-D760-43F1-8FF1-C3183C006E8B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4096B6-F3F1-4EA6-A42E-9C17809061B4}" name="Table_3__79" displayName="Table_3__79" ref="A1:E16" tableType="queryTable" totalsRowShown="0">
  <autoFilter ref="A1:E16" xr:uid="{704096B6-F3F1-4EA6-A42E-9C17809061B4}"/>
  <tableColumns count="5">
    <tableColumn id="1" xr3:uid="{0E598B45-6BF3-45C7-8C81-342D03BAA278}" uniqueName="1" name="Column1" queryTableFieldId="1"/>
    <tableColumn id="2" xr3:uid="{62CC318D-CF6A-44FB-8298-B4A74698C912}" uniqueName="2" name="Title" queryTableFieldId="2" dataDxfId="7"/>
    <tableColumn id="3" xr3:uid="{69C445E5-CC04-4A9F-827C-D605477B9B56}" uniqueName="3" name="Composer" queryTableFieldId="3" dataDxfId="6"/>
    <tableColumn id="4" xr3:uid="{5E1D6A16-EBB1-4139-B179-4D41043E605E}" uniqueName="4" name="Performer" queryTableFieldId="4" dataDxfId="5"/>
    <tableColumn id="5" xr3:uid="{45965A46-FA72-4502-923F-6AB06D3F1252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88671875" bestFit="1" customWidth="1"/>
    <col min="3" max="3" width="57" bestFit="1" customWidth="1"/>
    <col min="4" max="4" width="20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3.9583333333333331E-2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0.12708333333333333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0.13194444444444445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0.16597222222222222</v>
      </c>
    </row>
    <row r="6" spans="1:5">
      <c r="A6">
        <v>5</v>
      </c>
      <c r="B6" s="6" t="s">
        <v>17</v>
      </c>
      <c r="C6" s="6" t="s">
        <v>18</v>
      </c>
      <c r="D6" s="6" t="s">
        <v>19</v>
      </c>
      <c r="E6" s="5">
        <v>0.18888888888888888</v>
      </c>
    </row>
    <row r="7" spans="1:5">
      <c r="A7">
        <v>6</v>
      </c>
      <c r="B7" s="6" t="s">
        <v>20</v>
      </c>
      <c r="C7" s="6" t="s">
        <v>12</v>
      </c>
      <c r="D7" s="6" t="s">
        <v>10</v>
      </c>
      <c r="E7" s="5">
        <v>0.16111111111111112</v>
      </c>
    </row>
    <row r="8" spans="1:5">
      <c r="A8">
        <v>7</v>
      </c>
      <c r="B8" s="6" t="s">
        <v>21</v>
      </c>
      <c r="C8" s="6" t="s">
        <v>22</v>
      </c>
      <c r="D8" s="6" t="s">
        <v>10</v>
      </c>
      <c r="E8" s="5">
        <v>0.13819444444444445</v>
      </c>
    </row>
    <row r="9" spans="1:5">
      <c r="A9">
        <v>8</v>
      </c>
      <c r="B9" s="6" t="s">
        <v>23</v>
      </c>
      <c r="C9" s="6" t="s">
        <v>24</v>
      </c>
      <c r="D9" s="6" t="s">
        <v>10</v>
      </c>
      <c r="E9" s="5">
        <v>0.17222222222222222</v>
      </c>
    </row>
    <row r="10" spans="1:5">
      <c r="A10">
        <v>9</v>
      </c>
      <c r="B10" s="6" t="s">
        <v>25</v>
      </c>
      <c r="C10" s="6" t="s">
        <v>26</v>
      </c>
      <c r="D10" s="6" t="s">
        <v>10</v>
      </c>
      <c r="E10" s="5">
        <v>0.13958333333333334</v>
      </c>
    </row>
    <row r="11" spans="1:5">
      <c r="A11">
        <v>10</v>
      </c>
      <c r="B11" s="6" t="s">
        <v>27</v>
      </c>
      <c r="C11" s="6" t="s">
        <v>12</v>
      </c>
      <c r="D11" s="6" t="s">
        <v>10</v>
      </c>
      <c r="E11" s="5">
        <v>0.10625</v>
      </c>
    </row>
    <row r="12" spans="1:5">
      <c r="A12">
        <v>11</v>
      </c>
      <c r="B12" s="6" t="s">
        <v>28</v>
      </c>
      <c r="C12" s="6" t="s">
        <v>29</v>
      </c>
      <c r="D12" s="6" t="s">
        <v>10</v>
      </c>
      <c r="E12" s="5">
        <v>0.13472222222222222</v>
      </c>
    </row>
    <row r="13" spans="1:5">
      <c r="A13">
        <v>12</v>
      </c>
      <c r="B13" s="6" t="s">
        <v>30</v>
      </c>
      <c r="C13" s="6" t="s">
        <v>31</v>
      </c>
      <c r="D13" s="6" t="s">
        <v>32</v>
      </c>
      <c r="E13" s="5">
        <v>0.14166666666666666</v>
      </c>
    </row>
    <row r="14" spans="1:5">
      <c r="A14">
        <v>13</v>
      </c>
      <c r="B14" s="6" t="s">
        <v>33</v>
      </c>
      <c r="C14" s="6" t="s">
        <v>34</v>
      </c>
      <c r="D14" s="6" t="s">
        <v>10</v>
      </c>
      <c r="E14" s="5">
        <v>0.17083333333333334</v>
      </c>
    </row>
    <row r="15" spans="1:5">
      <c r="A15">
        <v>14</v>
      </c>
      <c r="B15" s="6" t="s">
        <v>35</v>
      </c>
      <c r="C15" s="6" t="s">
        <v>36</v>
      </c>
      <c r="D15" s="6" t="s">
        <v>10</v>
      </c>
      <c r="E15" s="5">
        <v>0.10902777777777778</v>
      </c>
    </row>
    <row r="16" spans="1:5">
      <c r="A16">
        <v>15</v>
      </c>
      <c r="B16" s="6" t="s">
        <v>37</v>
      </c>
      <c r="C16" s="6" t="s">
        <v>10</v>
      </c>
      <c r="D16" s="6" t="s">
        <v>10</v>
      </c>
      <c r="E16" s="5">
        <v>2.0833333333333332E-2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9" sqref="A3:K19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38.21875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21</v>
      </c>
      <c r="F2" s="1">
        <f t="array" ref="F2">MAX(LENB(Sheet1!C1:'Sheet1'!C30))</f>
        <v>58</v>
      </c>
      <c r="H2" s="1">
        <f t="array" ref="H2">MAX(LENB(Sheet1!D1:'Sheet1'!D30))</f>
        <v>20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</v>
      </c>
      <c r="E3" s="3" t="s">
        <v>0</v>
      </c>
      <c r="F3" t="str">
        <f>" "&amp;LEFTB("Composers"&amp;REPT(" ",$F$2-1),$F$2-1)</f>
        <v xml:space="preserve"> Composers                                                </v>
      </c>
      <c r="G3" s="3" t="s">
        <v>0</v>
      </c>
      <c r="H3" t="str">
        <f>" "&amp;LEFTB("Performer"&amp;REPT(" ",$H$2),$H$2)</f>
        <v xml:space="preserve"> Performer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 </v>
      </c>
      <c r="E4" s="3" t="s">
        <v>0</v>
      </c>
      <c r="F4" t="str">
        <f>" "&amp;REPT("-",$F$2)&amp;" "</f>
        <v xml:space="preserve"> ---------------------------------------------------------- </v>
      </c>
      <c r="G4" s="3" t="s">
        <v>0</v>
      </c>
      <c r="H4" t="str">
        <f>" "&amp;REPT("-",$H$2)&amp;" "</f>
        <v xml:space="preserve"> 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Introduction         </v>
      </c>
      <c r="E5" s="3" t="s">
        <v>0</v>
      </c>
      <c r="F5" t="str">
        <f>" "&amp;LEFTB(Sheet1!C2&amp;REPT(" ",$F$2),$F$2)</f>
        <v xml:space="preserve"> Austin Lichtenstein, Pete Miller                          </v>
      </c>
      <c r="G5" s="3" t="s">
        <v>0</v>
      </c>
      <c r="H5" t="str">
        <f>LEFTB(Sheet1!D2&amp;REPT(" ",$H$2),$H$2)</f>
        <v xml:space="preserve">RAYE                </v>
      </c>
      <c r="I5" s="3" t="s">
        <v>0</v>
      </c>
      <c r="J5" s="2" t="str">
        <f>TEXT(Sheet1!E2,"HH:MM")&amp;" "</f>
        <v xml:space="preserve">00:57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Oscar Winning Tears  </v>
      </c>
      <c r="E6" s="3" t="s">
        <v>0</v>
      </c>
      <c r="F6" t="str">
        <f>" "&amp;LEFTB(Sheet1!C3&amp;REPT(" ",$F$2),$F$2)</f>
        <v xml:space="preserve"> RAYE, Mike Sabath                                         </v>
      </c>
      <c r="G6" s="3" t="s">
        <v>0</v>
      </c>
      <c r="H6" t="str">
        <f>LEFTB(Sheet1!D3&amp;REPT(" ",$H$2),$H$2)</f>
        <v xml:space="preserve">RAYE                </v>
      </c>
      <c r="I6" s="3" t="s">
        <v>0</v>
      </c>
      <c r="J6" s="2" t="str">
        <f>TEXT(Sheet1!E3,"HH:MM")&amp;" "</f>
        <v xml:space="preserve">03:03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Hard Out Here        </v>
      </c>
      <c r="E7" s="3" t="s">
        <v>0</v>
      </c>
      <c r="F7" t="str">
        <f>" "&amp;LEFTB(Sheet1!C4&amp;REPT(" ",$F$2),$F$2)</f>
        <v xml:space="preserve"> Brandon Colbein, RAYE, Mike Sabath, Justin Tranter        </v>
      </c>
      <c r="G7" s="3" t="s">
        <v>0</v>
      </c>
      <c r="H7" t="str">
        <f>LEFTB(Sheet1!D4&amp;REPT(" ",$H$2),$H$2)</f>
        <v xml:space="preserve">RAYE                </v>
      </c>
      <c r="I7" s="3" t="s">
        <v>0</v>
      </c>
      <c r="J7" s="2" t="str">
        <f>TEXT(Sheet1!E4,"HH:MM")&amp;" "</f>
        <v xml:space="preserve">03:10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Black Mascara        </v>
      </c>
      <c r="E8" s="3" t="s">
        <v>0</v>
      </c>
      <c r="F8" t="str">
        <f>" "&amp;LEFTB(Sheet1!C5&amp;REPT(" ",$F$2),$F$2)</f>
        <v xml:space="preserve"> William Martyn Morris Lansley, Johan Morgan, RAYE         </v>
      </c>
      <c r="G8" s="3" t="s">
        <v>0</v>
      </c>
      <c r="H8" t="str">
        <f>LEFTB(Sheet1!D5&amp;REPT(" ",$H$2),$H$2)</f>
        <v xml:space="preserve">RAYE                </v>
      </c>
      <c r="I8" s="3" t="s">
        <v>0</v>
      </c>
      <c r="J8" s="2" t="str">
        <f>TEXT(Sheet1!E5,"HH:MM")&amp;" "</f>
        <v xml:space="preserve">03:59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Escapism             </v>
      </c>
      <c r="E9" s="3" t="s">
        <v>0</v>
      </c>
      <c r="F9" t="str">
        <f>" "&amp;LEFTB(Sheet1!C6&amp;REPT(" ",$F$2),$F$2)</f>
        <v xml:space="preserve"> RAYE, Mike Sabath, 070 Shake                              </v>
      </c>
      <c r="G9" s="3" t="s">
        <v>0</v>
      </c>
      <c r="H9" t="str">
        <f>LEFTB(Sheet1!D6&amp;REPT(" ",$H$2),$H$2)</f>
        <v>RAYE feat. 070 Shake</v>
      </c>
      <c r="I9" s="3" t="s">
        <v>0</v>
      </c>
      <c r="J9" s="2" t="str">
        <f>TEXT(Sheet1!E6,"HH:MM")&amp;" "</f>
        <v xml:space="preserve">04:32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Mary Jane            </v>
      </c>
      <c r="E10" s="3" t="s">
        <v>0</v>
      </c>
      <c r="F10" t="str">
        <f>" "&amp;LEFTB(Sheet1!C7&amp;REPT(" ",$F$2),$F$2)</f>
        <v xml:space="preserve"> RAYE, Mike Sabath                                         </v>
      </c>
      <c r="G10" s="3" t="s">
        <v>0</v>
      </c>
      <c r="H10" t="str">
        <f>LEFTB(Sheet1!D7&amp;REPT(" ",$H$2),$H$2)</f>
        <v xml:space="preserve">RAYE                </v>
      </c>
      <c r="I10" s="3" t="s">
        <v>0</v>
      </c>
      <c r="J10" s="2" t="str">
        <f>TEXT(Sheet1!E7,"HH:MM")&amp;" "</f>
        <v xml:space="preserve">03:52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The Thrill Is Gone.  </v>
      </c>
      <c r="E11" s="3" t="s">
        <v>0</v>
      </c>
      <c r="F11" t="str">
        <f>" "&amp;LEFTB(Sheet1!C8&amp;REPT(" ",$F$2),$F$2)</f>
        <v xml:space="preserve"> Anton Goransson, RAYE, Mike Sabath, Isabella Sj?strand    </v>
      </c>
      <c r="G11" s="3" t="s">
        <v>0</v>
      </c>
      <c r="H11" t="str">
        <f>LEFTB(Sheet1!D8&amp;REPT(" ",$H$2),$H$2)</f>
        <v xml:space="preserve">RAYE                </v>
      </c>
      <c r="I11" s="3" t="s">
        <v>0</v>
      </c>
      <c r="J11" s="2" t="str">
        <f>TEXT(Sheet1!E8,"HH:MM")&amp;" "</f>
        <v xml:space="preserve">03:19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Ice Cream Man        </v>
      </c>
      <c r="E12" s="3" t="s">
        <v>0</v>
      </c>
      <c r="F12" t="str">
        <f>" "&amp;LEFTB(Sheet1!C9&amp;REPT(" ",$F$2),$F$2)</f>
        <v xml:space="preserve"> RAYE, Mike Sabath, Michael Tucker                         </v>
      </c>
      <c r="G12" s="3" t="s">
        <v>0</v>
      </c>
      <c r="H12" t="str">
        <f>LEFTB(Sheet1!D9&amp;REPT(" ",$H$2),$H$2)</f>
        <v xml:space="preserve">RAYE                </v>
      </c>
      <c r="I12" s="3" t="s">
        <v>0</v>
      </c>
      <c r="J12" s="2" t="str">
        <f>TEXT(Sheet1!E9,"HH:MM")&amp;" "</f>
        <v xml:space="preserve">04:08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Flip a Switch        </v>
      </c>
      <c r="E13" s="3" t="s">
        <v>0</v>
      </c>
      <c r="F13" t="str">
        <f>" "&amp;LEFTB(Sheet1!C10&amp;REPT(" ",$F$2),$F$2)</f>
        <v xml:space="preserve"> Stephen McGregor, RAYE                                    </v>
      </c>
      <c r="G13" s="3" t="s">
        <v>0</v>
      </c>
      <c r="H13" t="str">
        <f>LEFTB(Sheet1!D10&amp;REPT(" ",$H$2),$H$2)</f>
        <v xml:space="preserve">RAYE                </v>
      </c>
      <c r="I13" s="3" t="s">
        <v>0</v>
      </c>
      <c r="J13" s="2" t="str">
        <f>TEXT(Sheet1!E10,"HH:MM")&amp;" "</f>
        <v xml:space="preserve">03:21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Body Dysmorphia      </v>
      </c>
      <c r="E14" s="3" t="s">
        <v>0</v>
      </c>
      <c r="F14" t="str">
        <f>" "&amp;LEFTB(Sheet1!C11&amp;REPT(" ",$F$2),$F$2)</f>
        <v xml:space="preserve"> RAYE, Mike Sabath                                         </v>
      </c>
      <c r="G14" s="3" t="s">
        <v>0</v>
      </c>
      <c r="H14" t="str">
        <f>LEFTB(Sheet1!D11&amp;REPT(" ",$H$2),$H$2)</f>
        <v xml:space="preserve">RAYE                </v>
      </c>
      <c r="I14" s="3" t="s">
        <v>0</v>
      </c>
      <c r="J14" s="2" t="str">
        <f>TEXT(Sheet1!E11,"HH:MM")&amp;" "</f>
        <v xml:space="preserve">02:33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>Environmental Anxiety</v>
      </c>
      <c r="E15" s="3" t="s">
        <v>0</v>
      </c>
      <c r="F15" t="str">
        <f>" "&amp;LEFTB(Sheet1!C12&amp;REPT(" ",$F$2),$F$2)</f>
        <v xml:space="preserve"> Jenna Felsenthal, RAYE, Mike Sabath                       </v>
      </c>
      <c r="G15" s="3" t="s">
        <v>0</v>
      </c>
      <c r="H15" t="str">
        <f>LEFTB(Sheet1!D12&amp;REPT(" ",$H$2),$H$2)</f>
        <v xml:space="preserve">RAYE                </v>
      </c>
      <c r="I15" s="3" t="s">
        <v>0</v>
      </c>
      <c r="J15" s="2" t="str">
        <f>TEXT(Sheet1!E12,"HH:MM")&amp;" "</f>
        <v xml:space="preserve">03:14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Five Star Hotels     </v>
      </c>
      <c r="E16" s="3" t="s">
        <v>0</v>
      </c>
      <c r="F16" t="str">
        <f>" "&amp;LEFTB(Sheet1!C13&amp;REPT(" ",$F$2),$F$2)</f>
        <v xml:space="preserve"> Eddie Benjamin, Kennedi Lykken, Mahalia, RAYE, Mike Sabath</v>
      </c>
      <c r="G16" s="3" t="s">
        <v>0</v>
      </c>
      <c r="H16" t="str">
        <f>LEFTB(Sheet1!D13&amp;REPT(" ",$H$2),$H$2)</f>
        <v xml:space="preserve">RAYE feat. Mahalia  </v>
      </c>
      <c r="I16" s="3" t="s">
        <v>0</v>
      </c>
      <c r="J16" s="2" t="str">
        <f>TEXT(Sheet1!E13,"HH:MM")&amp;" "</f>
        <v xml:space="preserve">03:24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Worth It             </v>
      </c>
      <c r="E17" s="3" t="s">
        <v>0</v>
      </c>
      <c r="F17" t="str">
        <f>" "&amp;LEFTB(Sheet1!C14&amp;REPT(" ",$F$2),$F$2)</f>
        <v xml:space="preserve"> John Hill, Akil King, RAYE, Mike Sabath                   </v>
      </c>
      <c r="G17" s="3" t="s">
        <v>0</v>
      </c>
      <c r="H17" t="str">
        <f>LEFTB(Sheet1!D14&amp;REPT(" ",$H$2),$H$2)</f>
        <v xml:space="preserve">RAYE                </v>
      </c>
      <c r="I17" s="3" t="s">
        <v>0</v>
      </c>
      <c r="J17" s="2" t="str">
        <f>TEXT(Sheet1!E14,"HH:MM")&amp;" "</f>
        <v xml:space="preserve">04:06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Buss It Down         </v>
      </c>
      <c r="E18" s="3" t="s">
        <v>0</v>
      </c>
      <c r="F18" t="str">
        <f>" "&amp;LEFTB(Sheet1!C15&amp;REPT(" ",$F$2),$F$2)</f>
        <v xml:space="preserve"> Eyelar Mirzazadeh, RAYE, Mike Sabath, Antoinette Smith    </v>
      </c>
      <c r="G18" s="3" t="s">
        <v>0</v>
      </c>
      <c r="H18" t="str">
        <f>LEFTB(Sheet1!D15&amp;REPT(" ",$H$2),$H$2)</f>
        <v xml:space="preserve">RAYE                </v>
      </c>
      <c r="I18" s="3" t="s">
        <v>0</v>
      </c>
      <c r="J18" s="2" t="str">
        <f>TEXT(Sheet1!E15,"HH:MM")&amp;" "</f>
        <v xml:space="preserve">02:37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Fin                  </v>
      </c>
      <c r="E19" s="3" t="s">
        <v>0</v>
      </c>
      <c r="F19" t="str">
        <f>" "&amp;LEFTB(Sheet1!C16&amp;REPT(" ",$F$2),$F$2)</f>
        <v xml:space="preserve"> RAYE                                                      </v>
      </c>
      <c r="G19" s="3" t="s">
        <v>0</v>
      </c>
      <c r="H19" t="str">
        <f>LEFTB(Sheet1!D16&amp;REPT(" ",$H$2),$H$2)</f>
        <v xml:space="preserve">RAYE                </v>
      </c>
      <c r="I19" s="3" t="s">
        <v>0</v>
      </c>
      <c r="J19" s="2" t="str">
        <f>TEXT(Sheet1!E16,"HH:MM")&amp;" "</f>
        <v xml:space="preserve">00:30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</v>
      </c>
      <c r="E20" s="3" t="s">
        <v>0</v>
      </c>
      <c r="F20" t="str">
        <f>" "&amp;LEFTB(Sheet1!C17&amp;REPT(" ",$F$2),$F$2)</f>
        <v xml:space="preserve">                                                           </v>
      </c>
      <c r="G20" s="3" t="s">
        <v>0</v>
      </c>
      <c r="H20" t="str">
        <f>LEFTB(Sheet1!D17&amp;REPT(" ",$H$2),$H$2)</f>
        <v xml:space="preserve">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</v>
      </c>
      <c r="E21" s="3" t="s">
        <v>0</v>
      </c>
      <c r="F21" t="str">
        <f>" "&amp;LEFTB(Sheet1!C18&amp;REPT(" ",$F$2),$F$2)</f>
        <v xml:space="preserve">                                                           </v>
      </c>
      <c r="G21" s="3" t="s">
        <v>0</v>
      </c>
      <c r="H21" t="str">
        <f>LEFTB(Sheet1!D18&amp;REPT(" ",$H$2),$H$2)</f>
        <v xml:space="preserve">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</v>
      </c>
      <c r="E22" s="3" t="s">
        <v>0</v>
      </c>
      <c r="F22" t="str">
        <f>" "&amp;LEFTB(Sheet1!C19&amp;REPT(" ",$F$2),$F$2)</f>
        <v xml:space="preserve">                                                           </v>
      </c>
      <c r="G22" s="3" t="s">
        <v>0</v>
      </c>
      <c r="H22" t="str">
        <f>LEFTB(Sheet1!D19&amp;REPT(" ",$H$2),$H$2)</f>
        <v xml:space="preserve">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</v>
      </c>
      <c r="E23" s="3" t="s">
        <v>0</v>
      </c>
      <c r="F23" t="str">
        <f>" "&amp;LEFTB(Sheet1!C20&amp;REPT(" ",$F$2),$F$2)</f>
        <v xml:space="preserve">                                                           </v>
      </c>
      <c r="G23" s="3" t="s">
        <v>0</v>
      </c>
      <c r="H23" t="str">
        <f>LEFTB(Sheet1!D20&amp;REPT(" ",$H$2),$H$2)</f>
        <v xml:space="preserve">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</v>
      </c>
      <c r="E24" s="3" t="s">
        <v>0</v>
      </c>
      <c r="F24" t="str">
        <f>" "&amp;LEFTB(Sheet1!C21&amp;REPT(" ",$F$2),$F$2)</f>
        <v xml:space="preserve">                                                           </v>
      </c>
      <c r="G24" s="3" t="s">
        <v>0</v>
      </c>
      <c r="H24" t="str">
        <f>LEFTB(Sheet1!D21&amp;REPT(" ",$H$2),$H$2)</f>
        <v xml:space="preserve">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</v>
      </c>
      <c r="E25" s="3" t="s">
        <v>0</v>
      </c>
      <c r="F25" t="str">
        <f>" "&amp;LEFTB(Sheet1!C22&amp;REPT(" ",$F$2),$F$2)</f>
        <v xml:space="preserve">                                                           </v>
      </c>
      <c r="G25" s="3" t="s">
        <v>0</v>
      </c>
      <c r="H25" t="str">
        <f>LEFTB(Sheet1!D22&amp;REPT(" ",$H$2),$H$2)</f>
        <v xml:space="preserve">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</v>
      </c>
      <c r="E26" s="3" t="s">
        <v>0</v>
      </c>
      <c r="F26" t="str">
        <f>" "&amp;LEFTB(Sheet1!C23&amp;REPT(" ",$F$2),$F$2)</f>
        <v xml:space="preserve">                                                           </v>
      </c>
      <c r="G26" s="3" t="s">
        <v>0</v>
      </c>
      <c r="H26" t="str">
        <f>LEFTB(Sheet1!D23&amp;REPT(" ",$H$2),$H$2)</f>
        <v xml:space="preserve">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</v>
      </c>
      <c r="E27" s="3" t="s">
        <v>0</v>
      </c>
      <c r="F27" t="str">
        <f>" "&amp;LEFTB(Sheet1!C24&amp;REPT(" ",$F$2),$F$2)</f>
        <v xml:space="preserve">                                                           </v>
      </c>
      <c r="G27" s="3" t="s">
        <v>0</v>
      </c>
      <c r="H27" t="str">
        <f>LEFTB(Sheet1!D24&amp;REPT(" ",$H$2),$H$2)</f>
        <v xml:space="preserve">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</v>
      </c>
      <c r="E28" s="3" t="s">
        <v>0</v>
      </c>
      <c r="F28" t="str">
        <f>" "&amp;LEFTB(Sheet1!C25&amp;REPT(" ",$F$2),$F$2)</f>
        <v xml:space="preserve">                                                           </v>
      </c>
      <c r="G28" s="3" t="s">
        <v>0</v>
      </c>
      <c r="H28" t="str">
        <f>LEFTB(Sheet1!D25&amp;REPT(" ",$H$2),$H$2)</f>
        <v xml:space="preserve">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</v>
      </c>
      <c r="E29" s="3" t="s">
        <v>0</v>
      </c>
      <c r="F29" t="str">
        <f>" "&amp;LEFTB(Sheet1!C26&amp;REPT(" ",$F$2),$F$2)</f>
        <v xml:space="preserve">                                                           </v>
      </c>
      <c r="G29" s="3" t="s">
        <v>0</v>
      </c>
      <c r="H29" t="str">
        <f>LEFTB(Sheet1!D26&amp;REPT(" ",$H$2),$H$2)</f>
        <v xml:space="preserve">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</v>
      </c>
      <c r="E30" s="3" t="s">
        <v>0</v>
      </c>
      <c r="F30" t="str">
        <f>" "&amp;LEFTB(Sheet1!C27&amp;REPT(" ",$F$2),$F$2)</f>
        <v xml:space="preserve">                                                           </v>
      </c>
      <c r="G30" s="3" t="s">
        <v>0</v>
      </c>
      <c r="H30" t="str">
        <f>LEFTB(Sheet1!D27&amp;REPT(" ",$H$2),$H$2)</f>
        <v xml:space="preserve">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7D0DD-2D4D-4778-A08F-5C3CD2BD09E9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88671875" bestFit="1" customWidth="1"/>
    <col min="3" max="3" width="57" bestFit="1" customWidth="1"/>
    <col min="4" max="4" width="20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3.9583333333333331E-2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0.12708333333333333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0.13194444444444445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0.16597222222222222</v>
      </c>
    </row>
    <row r="6" spans="1:5">
      <c r="A6">
        <v>5</v>
      </c>
      <c r="B6" s="6" t="s">
        <v>17</v>
      </c>
      <c r="C6" s="6" t="s">
        <v>18</v>
      </c>
      <c r="D6" s="6" t="s">
        <v>19</v>
      </c>
      <c r="E6" s="5">
        <v>0.18888888888888888</v>
      </c>
    </row>
    <row r="7" spans="1:5">
      <c r="A7">
        <v>6</v>
      </c>
      <c r="B7" s="6" t="s">
        <v>20</v>
      </c>
      <c r="C7" s="6" t="s">
        <v>12</v>
      </c>
      <c r="D7" s="6" t="s">
        <v>10</v>
      </c>
      <c r="E7" s="5">
        <v>0.16111111111111112</v>
      </c>
    </row>
    <row r="8" spans="1:5">
      <c r="A8">
        <v>7</v>
      </c>
      <c r="B8" s="6" t="s">
        <v>21</v>
      </c>
      <c r="C8" s="6" t="s">
        <v>22</v>
      </c>
      <c r="D8" s="6" t="s">
        <v>10</v>
      </c>
      <c r="E8" s="5">
        <v>0.13819444444444445</v>
      </c>
    </row>
    <row r="9" spans="1:5">
      <c r="A9">
        <v>8</v>
      </c>
      <c r="B9" s="6" t="s">
        <v>23</v>
      </c>
      <c r="C9" s="6" t="s">
        <v>24</v>
      </c>
      <c r="D9" s="6" t="s">
        <v>10</v>
      </c>
      <c r="E9" s="5">
        <v>0.17222222222222222</v>
      </c>
    </row>
    <row r="10" spans="1:5">
      <c r="A10">
        <v>9</v>
      </c>
      <c r="B10" s="6" t="s">
        <v>25</v>
      </c>
      <c r="C10" s="6" t="s">
        <v>26</v>
      </c>
      <c r="D10" s="6" t="s">
        <v>10</v>
      </c>
      <c r="E10" s="5">
        <v>0.13958333333333334</v>
      </c>
    </row>
    <row r="11" spans="1:5">
      <c r="A11">
        <v>10</v>
      </c>
      <c r="B11" s="6" t="s">
        <v>27</v>
      </c>
      <c r="C11" s="6" t="s">
        <v>12</v>
      </c>
      <c r="D11" s="6" t="s">
        <v>10</v>
      </c>
      <c r="E11" s="5">
        <v>0.10625</v>
      </c>
    </row>
    <row r="12" spans="1:5">
      <c r="A12">
        <v>11</v>
      </c>
      <c r="B12" s="6" t="s">
        <v>28</v>
      </c>
      <c r="C12" s="6" t="s">
        <v>29</v>
      </c>
      <c r="D12" s="6" t="s">
        <v>10</v>
      </c>
      <c r="E12" s="5">
        <v>0.13472222222222222</v>
      </c>
    </row>
    <row r="13" spans="1:5">
      <c r="A13">
        <v>12</v>
      </c>
      <c r="B13" s="6" t="s">
        <v>30</v>
      </c>
      <c r="C13" s="6" t="s">
        <v>31</v>
      </c>
      <c r="D13" s="6" t="s">
        <v>32</v>
      </c>
      <c r="E13" s="5">
        <v>0.14166666666666666</v>
      </c>
    </row>
    <row r="14" spans="1:5">
      <c r="A14">
        <v>13</v>
      </c>
      <c r="B14" s="6" t="s">
        <v>33</v>
      </c>
      <c r="C14" s="6" t="s">
        <v>34</v>
      </c>
      <c r="D14" s="6" t="s">
        <v>10</v>
      </c>
      <c r="E14" s="5">
        <v>0.17083333333333334</v>
      </c>
    </row>
    <row r="15" spans="1:5">
      <c r="A15">
        <v>14</v>
      </c>
      <c r="B15" s="6" t="s">
        <v>35</v>
      </c>
      <c r="C15" s="6" t="s">
        <v>36</v>
      </c>
      <c r="D15" s="6" t="s">
        <v>10</v>
      </c>
      <c r="E15" s="5">
        <v>0.10902777777777778</v>
      </c>
    </row>
    <row r="16" spans="1:5">
      <c r="A16">
        <v>15</v>
      </c>
      <c r="B16" s="6" t="s">
        <v>37</v>
      </c>
      <c r="C16" s="6" t="s">
        <v>10</v>
      </c>
      <c r="D16" s="6" t="s">
        <v>10</v>
      </c>
      <c r="E16" s="5">
        <v>2.0833333333333332E-2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6624-81E0-4163-A4BF-24DE6F7D3DB0}">
  <dimension ref="B2:E8"/>
  <sheetViews>
    <sheetView workbookViewId="0"/>
  </sheetViews>
  <sheetFormatPr defaultRowHeight="19.5"/>
  <cols>
    <col min="1" max="1" width="11" bestFit="1" customWidth="1"/>
    <col min="2" max="2" width="14" bestFit="1" customWidth="1"/>
    <col min="3" max="3" width="17.88671875" bestFit="1" customWidth="1"/>
    <col min="4" max="4" width="11.88671875" bestFit="1" customWidth="1"/>
    <col min="5" max="5" width="7.777343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Table 3 (79)</vt:lpstr>
      <vt:lpstr>Table 3 (77)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2024-06-02T12:05:16Z</dcterms:modified>
</cp:coreProperties>
</file>