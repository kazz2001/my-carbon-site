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96CCC24D-96B8-4C1C-948E-422A5F31EC4B}" xr6:coauthVersionLast="47" xr6:coauthVersionMax="47" xr10:uidLastSave="{00000000-0000-0000-0000-000000000000}"/>
  <bookViews>
    <workbookView xWindow="4815" yWindow="780" windowWidth="22830" windowHeight="14700" activeTab="1" xr2:uid="{00000000-000D-0000-FFFF-FFFF00000000}"/>
  </bookViews>
  <sheets>
    <sheet name="Sheet1" sheetId="1" r:id="rId1"/>
    <sheet name="Sheet2" sheetId="2" r:id="rId2"/>
    <sheet name="テーブル 5 (27)" sheetId="53" r:id="rId3"/>
    <sheet name="テーブル 5 (25)" sheetId="52" r:id="rId4"/>
    <sheet name="テーブル 5 (23)" sheetId="51" r:id="rId5"/>
  </sheets>
  <definedNames>
    <definedName name="ExternalData_1" localSheetId="0" hidden="1">Sheet1!$A$1:$E$15</definedName>
    <definedName name="ExternalData_1" localSheetId="2" hidden="1">'テーブル 5 (27)'!$A$1:$E$15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1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02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03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04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05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06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<sst xmlns="http://schemas.openxmlformats.org/spreadsheetml/2006/main" count="264" uniqueCount="40">
  <si>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</si>
  <si>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</si>
  <si>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</si>
  <si>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</si>
  <si>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</si>
  <si>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</si>
  <si>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</si>
  <si>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</si>
  <si>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St. Chroma</t>
  </si>
  <si>
    <t>Tyler Okonma / Ashton Simmonds</t>
  </si>
  <si>
    <t>Tyler, The Creator feat: Daniel Caesar</t>
  </si>
  <si>
    <t>Rah Tah Tah</t>
  </si>
  <si>
    <t>Tyler Okonma</t>
  </si>
  <si>
    <t>Tyler, The Creator</t>
  </si>
  <si>
    <t>Noid</t>
  </si>
  <si>
    <t>Paul "Ngozi" Nyirongo / Tyler Okonma</t>
  </si>
  <si>
    <t>Darling, I</t>
  </si>
  <si>
    <t>Tyler Okonma / Q-Tip / Barry White</t>
  </si>
  <si>
    <t>Tyler, The Creator feat: Teezo Touchdown</t>
  </si>
  <si>
    <t>Hey Jane</t>
  </si>
  <si>
    <t>I Killed You</t>
  </si>
  <si>
    <t>Judge Judy</t>
  </si>
  <si>
    <t>Sticky</t>
  </si>
  <si>
    <t>Tyler Okonma, GloRilla, Sexyy Red, Lil Wayne, Young Buck, Aaron Bolton,
                  Polow da Don, Rex Zamor, Timbaland, Attitude, Zach Wallace, Blac Elvis,
                  Nevrmind</t>
  </si>
  <si>
    <t>Tyler, The Creator eat: GloRilla, Sexyy Red, Lil Wayne</t>
  </si>
  <si>
    <t>Take Your Mask Off</t>
  </si>
  <si>
    <t>Greg Cook / Tyler Okonma / K Thomas</t>
  </si>
  <si>
    <t>Tyler, The Creator feat: Daniel Caesar / LaToiya Williams</t>
  </si>
  <si>
    <t>Tomorrow</t>
  </si>
  <si>
    <t>Thought I Was Dead</t>
  </si>
  <si>
    <t>Tyler Okonma / ScHoolboy Q</t>
  </si>
  <si>
    <t>Tyler, The Creator Feat: Santigold, ScHoolboy Q</t>
  </si>
  <si>
    <t>Like Him</t>
  </si>
  <si>
    <t>Tyler, The Creator feat: Lola Young</t>
  </si>
  <si>
    <t>Balloon</t>
  </si>
  <si>
    <t>Tyler Okonma, Doechii, Harry Wayne Casey, James Brown, Luke, Rob Base
                  &amp; Richard Finch</t>
  </si>
  <si>
    <t>Tyler, The Creator feat Doechii</t>
  </si>
  <si>
    <t>I Hope You Find Your Way Home</t>
  </si>
  <si>
    <t>Tyler Okonma, GloRilla, Sexyy Red, Lil Wayne, Young Buck, Aaron Bolton,                  Polow da Don, Rex Zamor, Timbaland, Attitude, Zach Wallace, Blac Elvis,                  Nevrmind</t>
    <phoneticPr fontId="1"/>
  </si>
  <si>
    <t>Tyler Okonma, Doechii, Harry Wayne Casey, James Brown, Luke, Rob Base                  &amp; Richard Finch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</si>
</sst>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9" xr16:uid="{A940C25D-2A2A-4E85-9C38-72020F377357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8" xr16:uid="{D8F1C79D-716E-4F5D-B4BC-F17BA92A5D7B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5C37F3-BF65-493C-AFFA-2CC35A365B35}" name="テーブル_5__273" displayName="テーブル_5__273" ref="A1:E15" tableType="queryTable" totalsRowShown="0">
  <autoFilter ref="A1:E15" xr:uid="{5E5C37F3-BF65-493C-AFFA-2CC35A365B35}"/>
  <tableColumns count="5">
    <tableColumn id="1" xr3:uid="{0F9C532A-E84F-46C1-AB15-A9EE7998BEAD}" uniqueName="1" name="Column1" queryTableFieldId="1"/>
    <tableColumn id="2" xr3:uid="{A8A04A6C-D599-43A1-A3B4-E6C4B0C63D38}" uniqueName="2" name="Title" queryTableFieldId="2" dataDxfId="3"/>
    <tableColumn id="3" xr3:uid="{22256FA4-1608-4551-9035-0D07342F395A}" uniqueName="3" name="Composer" queryTableFieldId="3" dataDxfId="2"/>
    <tableColumn id="4" xr3:uid="{0935CC0C-10E6-48BC-BFA4-40A93ADF8278}" uniqueName="4" name="Performer" queryTableFieldId="4" dataDxfId="1"/>
    <tableColumn id="5" xr3:uid="{3A94540F-8D68-4F67-9BF7-E86944101521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E90DF6-28A0-42F0-A511-D76ABB5BACD6}" name="テーブル_5__27" displayName="テーブル_5__27" ref="A1:E15" tableType="queryTable" totalsRowShown="0">
  <autoFilter ref="A1:E15" xr:uid="{D6E90DF6-28A0-42F0-A511-D76ABB5BACD6}"/>
  <tableColumns count="5">
    <tableColumn id="1" xr3:uid="{99C5B29B-3B99-4A12-8100-8B819FBD6240}" uniqueName="1" name="Column1" queryTableFieldId="1"/>
    <tableColumn id="2" xr3:uid="{FAE2330D-D02E-4B26-A63C-10FE536668D4}" uniqueName="2" name="Title" queryTableFieldId="2" dataDxfId="7"/>
    <tableColumn id="3" xr3:uid="{DD2448F2-8F7F-4711-8794-6D1FEA17DE76}" uniqueName="3" name="Composer" queryTableFieldId="3" dataDxfId="6"/>
    <tableColumn id="4" xr3:uid="{53818709-93CD-481A-964F-6BBCAECCA045}" uniqueName="4" name="Performer" queryTableFieldId="4" dataDxfId="5"/>
    <tableColumn id="5" xr3:uid="{120115F1-E6F9-480C-ABC4-B08B60A7050B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workbookViewId="0">
      <selection activeCell="C15" sqref="C15"/>
    </sheetView>
  </sheetViews>
  <sheetFormatPr defaultRowHeight="19.5"/>
  <cols>
    <col min="1" max="1" width="11" bestFit="1" customWidth="1"/>
    <col min="2" max="2" width="30.44140625" bestFit="1" customWidth="1"/>
    <col min="3" max="3" width="80.88671875" bestFit="1" customWidth="1"/>
    <col min="4" max="4" width="52.88671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0.13680555555555557</v>
      </c>
    </row>
    <row r="3" spans="1:5">
      <c r="A3">
        <v>2</v>
      </c>
      <c r="B3" s="6" t="s">
        <v>11</v>
      </c>
      <c r="C3" s="6" t="s">
        <v>12</v>
      </c>
      <c r="D3" s="6" t="s">
        <v>13</v>
      </c>
      <c r="E3" s="5">
        <v>0.11458333333333333</v>
      </c>
    </row>
    <row r="4" spans="1:5">
      <c r="A4">
        <v>3</v>
      </c>
      <c r="B4" s="6" t="s">
        <v>14</v>
      </c>
      <c r="C4" s="6" t="s">
        <v>15</v>
      </c>
      <c r="D4" s="6" t="s">
        <v>13</v>
      </c>
      <c r="E4" s="5">
        <v>0.19930555555555557</v>
      </c>
    </row>
    <row r="5" spans="1:5">
      <c r="A5">
        <v>4</v>
      </c>
      <c r="B5" s="6" t="s">
        <v>16</v>
      </c>
      <c r="C5" s="6" t="s">
        <v>17</v>
      </c>
      <c r="D5" s="6" t="s">
        <v>18</v>
      </c>
      <c r="E5" s="5">
        <v>0.17569444444444443</v>
      </c>
    </row>
    <row r="6" spans="1:5">
      <c r="A6">
        <v>5</v>
      </c>
      <c r="B6" s="6" t="s">
        <v>19</v>
      </c>
      <c r="C6" s="6" t="s">
        <v>12</v>
      </c>
      <c r="D6" s="6" t="s">
        <v>13</v>
      </c>
      <c r="E6" s="5">
        <v>0.16666666666666666</v>
      </c>
    </row>
    <row r="7" spans="1:5">
      <c r="A7">
        <v>6</v>
      </c>
      <c r="B7" s="6" t="s">
        <v>20</v>
      </c>
      <c r="C7" s="6" t="s">
        <v>12</v>
      </c>
      <c r="D7" s="6" t="s">
        <v>13</v>
      </c>
      <c r="E7" s="5">
        <v>0.11666666666666667</v>
      </c>
    </row>
    <row r="8" spans="1:5">
      <c r="A8">
        <v>7</v>
      </c>
      <c r="B8" s="6" t="s">
        <v>21</v>
      </c>
      <c r="C8" s="6" t="s">
        <v>12</v>
      </c>
      <c r="D8" s="6" t="s">
        <v>13</v>
      </c>
      <c r="E8" s="5">
        <v>0.18680555555555556</v>
      </c>
    </row>
    <row r="9" spans="1:5">
      <c r="A9">
        <v>8</v>
      </c>
      <c r="B9" s="6" t="s">
        <v>22</v>
      </c>
      <c r="C9" s="6" t="s">
        <v>38</v>
      </c>
      <c r="D9" s="6" t="s">
        <v>24</v>
      </c>
      <c r="E9" s="5">
        <v>0.17708333333333334</v>
      </c>
    </row>
    <row r="10" spans="1:5">
      <c r="A10">
        <v>9</v>
      </c>
      <c r="B10" s="6" t="s">
        <v>25</v>
      </c>
      <c r="C10" s="6" t="s">
        <v>26</v>
      </c>
      <c r="D10" s="6" t="s">
        <v>27</v>
      </c>
      <c r="E10" s="5">
        <v>0.17569444444444443</v>
      </c>
    </row>
    <row r="11" spans="1:5">
      <c r="A11">
        <v>10</v>
      </c>
      <c r="B11" s="6" t="s">
        <v>28</v>
      </c>
      <c r="C11" s="6" t="s">
        <v>9</v>
      </c>
      <c r="D11" s="6" t="s">
        <v>13</v>
      </c>
      <c r="E11" s="5">
        <v>0.12638888888888888</v>
      </c>
    </row>
    <row r="12" spans="1:5">
      <c r="A12">
        <v>11</v>
      </c>
      <c r="B12" s="6" t="s">
        <v>29</v>
      </c>
      <c r="C12" s="6" t="s">
        <v>30</v>
      </c>
      <c r="D12" s="6" t="s">
        <v>31</v>
      </c>
      <c r="E12" s="5">
        <v>0.14374999999999999</v>
      </c>
    </row>
    <row r="13" spans="1:5">
      <c r="A13">
        <v>12</v>
      </c>
      <c r="B13" s="6" t="s">
        <v>32</v>
      </c>
      <c r="C13" s="6" t="s">
        <v>12</v>
      </c>
      <c r="D13" s="6" t="s">
        <v>33</v>
      </c>
      <c r="E13" s="5">
        <v>0.19305555555555556</v>
      </c>
    </row>
    <row r="14" spans="1:5">
      <c r="A14">
        <v>13</v>
      </c>
      <c r="B14" s="6" t="s">
        <v>34</v>
      </c>
      <c r="C14" s="6" t="s">
        <v>39</v>
      </c>
      <c r="D14" s="6" t="s">
        <v>36</v>
      </c>
      <c r="E14" s="5">
        <v>0.10694444444444444</v>
      </c>
    </row>
    <row r="15" spans="1:5">
      <c r="A15">
        <v>14</v>
      </c>
      <c r="B15" s="6" t="s">
        <v>37</v>
      </c>
      <c r="C15" s="6" t="s">
        <v>12</v>
      </c>
      <c r="D15" s="6" t="s">
        <v>13</v>
      </c>
      <c r="E15" s="5">
        <v>0.18680555555555556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topLeftCell="G1" workbookViewId="0">
      <selection activeCell="A3" sqref="A3:K18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29</v>
      </c>
      <c r="F2" s="1">
        <f t="array" ref="F2">MAX(LENB(Sheet1!C1:'Sheet1'!C30))</f>
        <v>186</v>
      </c>
      <c r="H2" s="1">
        <f t="array" ref="H2">MAX(LENB(Sheet1!D1:'Sheet1'!D30))</f>
        <v>57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        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St. Chroma                   </v>
      </c>
      <c r="E5" s="3" t="s">
        <v>0</v>
      </c>
      <c r="F5" t="str">
        <f>" "&amp;LEFTB(Sheet1!C2&amp;REPT(" ",$F$2),$F$2)</f>
        <v xml:space="preserve"> Tyler Okonma / Ashton Simmonds                                                                                                                                                            </v>
      </c>
      <c r="G5" s="3" t="s">
        <v>0</v>
      </c>
      <c r="H5" t="str">
        <f>LEFTB(Sheet1!D2&amp;REPT(" ",$H$2),$H$2)</f>
        <v xml:space="preserve">Tyler, The Creator feat: Daniel Caesar                   </v>
      </c>
      <c r="I5" s="3" t="s">
        <v>0</v>
      </c>
      <c r="J5" s="2" t="str">
        <f>TEXT(Sheet1!E2,"HH:MM")&amp;" "</f>
        <v xml:space="preserve">03:17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Rah Tah Tah                  </v>
      </c>
      <c r="E6" s="3" t="s">
        <v>0</v>
      </c>
      <c r="F6" t="str">
        <f>" "&amp;LEFTB(Sheet1!C3&amp;REPT(" ",$F$2),$F$2)</f>
        <v xml:space="preserve"> Tyler Okonma                                                                                                                                                                              </v>
      </c>
      <c r="G6" s="3" t="s">
        <v>0</v>
      </c>
      <c r="H6" t="str">
        <f>LEFTB(Sheet1!D3&amp;REPT(" ",$H$2),$H$2)</f>
        <v xml:space="preserve">Tyler, The Creator                                       </v>
      </c>
      <c r="I6" s="3" t="s">
        <v>0</v>
      </c>
      <c r="J6" s="2" t="str">
        <f>TEXT(Sheet1!E3,"HH:MM")&amp;" "</f>
        <v xml:space="preserve">02:45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Noid                         </v>
      </c>
      <c r="E7" s="3" t="s">
        <v>0</v>
      </c>
      <c r="F7" t="str">
        <f>" "&amp;LEFTB(Sheet1!C4&amp;REPT(" ",$F$2),$F$2)</f>
        <v xml:space="preserve"> Paul "Ngozi" Nyirongo / Tyler Okonma                                                                                                                                                      </v>
      </c>
      <c r="G7" s="3" t="s">
        <v>0</v>
      </c>
      <c r="H7" t="str">
        <f>LEFTB(Sheet1!D4&amp;REPT(" ",$H$2),$H$2)</f>
        <v xml:space="preserve">Tyler, The Creator                                       </v>
      </c>
      <c r="I7" s="3" t="s">
        <v>0</v>
      </c>
      <c r="J7" s="2" t="str">
        <f>TEXT(Sheet1!E4,"HH:MM")&amp;" "</f>
        <v xml:space="preserve">04:47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Darling, I                   </v>
      </c>
      <c r="E8" s="3" t="s">
        <v>0</v>
      </c>
      <c r="F8" t="str">
        <f>" "&amp;LEFTB(Sheet1!C5&amp;REPT(" ",$F$2),$F$2)</f>
        <v xml:space="preserve"> Tyler Okonma / Q-Tip / Barry White                                                                                                                                                        </v>
      </c>
      <c r="G8" s="3" t="s">
        <v>0</v>
      </c>
      <c r="H8" t="str">
        <f>LEFTB(Sheet1!D5&amp;REPT(" ",$H$2),$H$2)</f>
        <v xml:space="preserve">Tyler, The Creator feat: Teezo Touchdown                 </v>
      </c>
      <c r="I8" s="3" t="s">
        <v>0</v>
      </c>
      <c r="J8" s="2" t="str">
        <f>TEXT(Sheet1!E5,"HH:MM")&amp;" "</f>
        <v xml:space="preserve">04:13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Hey Jane                     </v>
      </c>
      <c r="E9" s="3" t="s">
        <v>0</v>
      </c>
      <c r="F9" t="str">
        <f>" "&amp;LEFTB(Sheet1!C6&amp;REPT(" ",$F$2),$F$2)</f>
        <v xml:space="preserve"> Tyler Okonma                                                                                                                                                                              </v>
      </c>
      <c r="G9" s="3" t="s">
        <v>0</v>
      </c>
      <c r="H9" t="str">
        <f>LEFTB(Sheet1!D6&amp;REPT(" ",$H$2),$H$2)</f>
        <v xml:space="preserve">Tyler, The Creator                                       </v>
      </c>
      <c r="I9" s="3" t="s">
        <v>0</v>
      </c>
      <c r="J9" s="2" t="str">
        <f>TEXT(Sheet1!E6,"HH:MM")&amp;" "</f>
        <v xml:space="preserve">04:00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I Killed You                 </v>
      </c>
      <c r="E10" s="3" t="s">
        <v>0</v>
      </c>
      <c r="F10" t="str">
        <f>" "&amp;LEFTB(Sheet1!C7&amp;REPT(" ",$F$2),$F$2)</f>
        <v xml:space="preserve"> Tyler Okonma                                                                                                                                                                              </v>
      </c>
      <c r="G10" s="3" t="s">
        <v>0</v>
      </c>
      <c r="H10" t="str">
        <f>LEFTB(Sheet1!D7&amp;REPT(" ",$H$2),$H$2)</f>
        <v xml:space="preserve">Tyler, The Creator                                       </v>
      </c>
      <c r="I10" s="3" t="s">
        <v>0</v>
      </c>
      <c r="J10" s="2" t="str">
        <f>TEXT(Sheet1!E7,"HH:MM")&amp;" "</f>
        <v xml:space="preserve">02:48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Judge Judy                   </v>
      </c>
      <c r="E11" s="3" t="s">
        <v>0</v>
      </c>
      <c r="F11" t="str">
        <f>" "&amp;LEFTB(Sheet1!C8&amp;REPT(" ",$F$2),$F$2)</f>
        <v xml:space="preserve"> Tyler Okonma                                                                                                                                                                              </v>
      </c>
      <c r="G11" s="3" t="s">
        <v>0</v>
      </c>
      <c r="H11" t="str">
        <f>LEFTB(Sheet1!D8&amp;REPT(" ",$H$2),$H$2)</f>
        <v xml:space="preserve">Tyler, The Creator                                       </v>
      </c>
      <c r="I11" s="3" t="s">
        <v>0</v>
      </c>
      <c r="J11" s="2" t="str">
        <f>TEXT(Sheet1!E8,"HH:MM")&amp;" "</f>
        <v xml:space="preserve">04:29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Sticky                       </v>
      </c>
      <c r="E12" s="3" t="s">
        <v>0</v>
      </c>
      <c r="F12" t="str">
        <f>" "&amp;LEFTB(Sheet1!C9&amp;REPT(" ",$F$2),$F$2)</f>
        <v xml:space="preserve"> Tyler Okonma, GloRilla, Sexyy Red, Lil Wayne, Young Buck, Aaron Bolton,                  Polow da Don, Rex Zamor, Timbaland, Attitude, Zach Wallace, Blac Elvis,                  Nevrmind</v>
      </c>
      <c r="G12" s="3" t="s">
        <v>0</v>
      </c>
      <c r="H12" t="str">
        <f>LEFTB(Sheet1!D9&amp;REPT(" ",$H$2),$H$2)</f>
        <v xml:space="preserve">Tyler, The Creator eat: GloRilla, Sexyy Red, Lil Wayne   </v>
      </c>
      <c r="I12" s="3" t="s">
        <v>0</v>
      </c>
      <c r="J12" s="2" t="str">
        <f>TEXT(Sheet1!E9,"HH:MM")&amp;" "</f>
        <v xml:space="preserve">04:15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Take Your Mask Off           </v>
      </c>
      <c r="E13" s="3" t="s">
        <v>0</v>
      </c>
      <c r="F13" t="str">
        <f>" "&amp;LEFTB(Sheet1!C10&amp;REPT(" ",$F$2),$F$2)</f>
        <v xml:space="preserve"> Greg Cook / Tyler Okonma / K Thomas                                                                                                                                                       </v>
      </c>
      <c r="G13" s="3" t="s">
        <v>0</v>
      </c>
      <c r="H13" t="str">
        <f>LEFTB(Sheet1!D10&amp;REPT(" ",$H$2),$H$2)</f>
        <v>Tyler, The Creator feat: Daniel Caesar / LaToiya Williams</v>
      </c>
      <c r="I13" s="3" t="s">
        <v>0</v>
      </c>
      <c r="J13" s="2" t="str">
        <f>TEXT(Sheet1!E10,"HH:MM")&amp;" "</f>
        <v xml:space="preserve">04:13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Tomorrow                     </v>
      </c>
      <c r="E14" s="3" t="s">
        <v>0</v>
      </c>
      <c r="F14" t="str">
        <f>" "&amp;LEFTB(Sheet1!C11&amp;REPT(" ",$F$2),$F$2)</f>
        <v xml:space="preserve"> Tyler Okonma / Ashton Simmonds                                                                                                                                                            </v>
      </c>
      <c r="G14" s="3" t="s">
        <v>0</v>
      </c>
      <c r="H14" t="str">
        <f>LEFTB(Sheet1!D11&amp;REPT(" ",$H$2),$H$2)</f>
        <v xml:space="preserve">Tyler, The Creator                                       </v>
      </c>
      <c r="I14" s="3" t="s">
        <v>0</v>
      </c>
      <c r="J14" s="2" t="str">
        <f>TEXT(Sheet1!E11,"HH:MM")&amp;" "</f>
        <v xml:space="preserve">03:02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Thought I Was Dead           </v>
      </c>
      <c r="E15" s="3" t="s">
        <v>0</v>
      </c>
      <c r="F15" t="str">
        <f>" "&amp;LEFTB(Sheet1!C12&amp;REPT(" ",$F$2),$F$2)</f>
        <v xml:space="preserve"> Tyler Okonma / ScHoolboy Q                                                                                                                                                                </v>
      </c>
      <c r="G15" s="3" t="s">
        <v>0</v>
      </c>
      <c r="H15" t="str">
        <f>LEFTB(Sheet1!D12&amp;REPT(" ",$H$2),$H$2)</f>
        <v xml:space="preserve">Tyler, The Creator Feat: Santigold, ScHoolboy Q          </v>
      </c>
      <c r="I15" s="3" t="s">
        <v>0</v>
      </c>
      <c r="J15" s="2" t="str">
        <f>TEXT(Sheet1!E12,"HH:MM")&amp;" "</f>
        <v xml:space="preserve">03:27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Like Him                     </v>
      </c>
      <c r="E16" s="3" t="s">
        <v>0</v>
      </c>
      <c r="F16" t="str">
        <f>" "&amp;LEFTB(Sheet1!C13&amp;REPT(" ",$F$2),$F$2)</f>
        <v xml:space="preserve"> Tyler Okonma                                                                                                                                                                              </v>
      </c>
      <c r="G16" s="3" t="s">
        <v>0</v>
      </c>
      <c r="H16" t="str">
        <f>LEFTB(Sheet1!D13&amp;REPT(" ",$H$2),$H$2)</f>
        <v xml:space="preserve">Tyler, The Creator feat: Lola Young                      </v>
      </c>
      <c r="I16" s="3" t="s">
        <v>0</v>
      </c>
      <c r="J16" s="2" t="str">
        <f>TEXT(Sheet1!E13,"HH:MM")&amp;" "</f>
        <v xml:space="preserve">04:38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Balloon                      </v>
      </c>
      <c r="E17" s="3" t="s">
        <v>0</v>
      </c>
      <c r="F17" t="str">
        <f>" "&amp;LEFTB(Sheet1!C14&amp;REPT(" ",$F$2),$F$2)</f>
        <v xml:space="preserve"> Tyler Okonma, Doechii, Harry Wayne Casey, James Brown, Luke, Rob Base                  &amp; Richard Finch                                                                                   </v>
      </c>
      <c r="G17" s="3" t="s">
        <v>0</v>
      </c>
      <c r="H17" t="str">
        <f>LEFTB(Sheet1!D14&amp;REPT(" ",$H$2),$H$2)</f>
        <v xml:space="preserve">Tyler, The Creator feat Doechii                          </v>
      </c>
      <c r="I17" s="3" t="s">
        <v>0</v>
      </c>
      <c r="J17" s="2" t="str">
        <f>TEXT(Sheet1!E14,"HH:MM")&amp;" "</f>
        <v xml:space="preserve">02:34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>I Hope You Find Your Way Home</v>
      </c>
      <c r="E18" s="3" t="s">
        <v>0</v>
      </c>
      <c r="F18" t="str">
        <f>" "&amp;LEFTB(Sheet1!C15&amp;REPT(" ",$F$2),$F$2)</f>
        <v xml:space="preserve"> Tyler Okonma                                                                                                                                                                              </v>
      </c>
      <c r="G18" s="3" t="s">
        <v>0</v>
      </c>
      <c r="H18" t="str">
        <f>LEFTB(Sheet1!D15&amp;REPT(" ",$H$2),$H$2)</f>
        <v xml:space="preserve">Tyler, The Creator                                       </v>
      </c>
      <c r="I18" s="3" t="s">
        <v>0</v>
      </c>
      <c r="J18" s="2" t="str">
        <f>TEXT(Sheet1!E15,"HH:MM")&amp;" "</f>
        <v xml:space="preserve">04:29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                       </v>
      </c>
      <c r="E19" s="3" t="s">
        <v>0</v>
      </c>
      <c r="F19" t="str">
        <f>" "&amp;LEFTB(Sheet1!C16&amp;REPT(" ",$F$2),$F$2)</f>
        <v xml:space="preserve">                                                                                                                                                                                           </v>
      </c>
      <c r="G19" s="3" t="s">
        <v>0</v>
      </c>
      <c r="H19" t="str">
        <f>LEFTB(Sheet1!D16&amp;REPT(" ",$H$2),$H$2)</f>
        <v xml:space="preserve">                                         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            </v>
      </c>
      <c r="E20" s="3" t="s">
        <v>0</v>
      </c>
      <c r="F20" t="str">
        <f>" "&amp;LEFTB(Sheet1!C17&amp;REPT(" ",$F$2),$F$2)</f>
        <v xml:space="preserve">                                                                                     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                               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           </v>
      </c>
      <c r="E21" s="3" t="s">
        <v>0</v>
      </c>
      <c r="F21" t="str">
        <f>" "&amp;LEFTB(Sheet1!C18&amp;REPT(" ",$F$2),$F$2)</f>
        <v xml:space="preserve">                                                                                   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                          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           </v>
      </c>
      <c r="E22" s="3" t="s">
        <v>0</v>
      </c>
      <c r="F22" t="str">
        <f>" "&amp;LEFTB(Sheet1!C19&amp;REPT(" ",$F$2),$F$2)</f>
        <v xml:space="preserve">                                                                                                                                                                                           </v>
      </c>
      <c r="G22" s="3" t="s">
        <v>0</v>
      </c>
      <c r="H22" t="str">
        <f>LEFTB(Sheet1!D19&amp;REPT(" ",$H$2),$H$2)</f>
        <v xml:space="preserve">                          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          </v>
      </c>
      <c r="E23" s="3" t="s">
        <v>0</v>
      </c>
      <c r="F23" t="str">
        <f>" "&amp;LEFTB(Sheet1!C20&amp;REPT(" ",$F$2),$F$2)</f>
        <v xml:space="preserve">                                                                         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                       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    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    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    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E9432-1111-4CF9-8347-8DD720BA9C42}">
  <dimension ref="A1:E15"/>
  <sheetViews>
    <sheetView workbookViewId="0">
      <selection sqref="A1:XFD1048576"/>
    </sheetView>
  </sheetViews>
  <sheetFormatPr defaultRowHeight="19.5"/>
  <cols>
    <col min="1" max="1" width="11" bestFit="1" customWidth="1"/>
    <col min="2" max="2" width="30.44140625" bestFit="1" customWidth="1"/>
    <col min="3" max="3" width="80.88671875" bestFit="1" customWidth="1"/>
    <col min="4" max="4" width="52.88671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0.13680555555555557</v>
      </c>
    </row>
    <row r="3" spans="1:5">
      <c r="A3">
        <v>2</v>
      </c>
      <c r="B3" s="6" t="s">
        <v>11</v>
      </c>
      <c r="C3" s="6" t="s">
        <v>12</v>
      </c>
      <c r="D3" s="6" t="s">
        <v>13</v>
      </c>
      <c r="E3" s="5">
        <v>0.11458333333333333</v>
      </c>
    </row>
    <row r="4" spans="1:5">
      <c r="A4">
        <v>3</v>
      </c>
      <c r="B4" s="6" t="s">
        <v>14</v>
      </c>
      <c r="C4" s="6" t="s">
        <v>15</v>
      </c>
      <c r="D4" s="6" t="s">
        <v>13</v>
      </c>
      <c r="E4" s="5">
        <v>0.19930555555555557</v>
      </c>
    </row>
    <row r="5" spans="1:5">
      <c r="A5">
        <v>4</v>
      </c>
      <c r="B5" s="6" t="s">
        <v>16</v>
      </c>
      <c r="C5" s="6" t="s">
        <v>17</v>
      </c>
      <c r="D5" s="6" t="s">
        <v>18</v>
      </c>
      <c r="E5" s="5">
        <v>0.17569444444444443</v>
      </c>
    </row>
    <row r="6" spans="1:5">
      <c r="A6">
        <v>5</v>
      </c>
      <c r="B6" s="6" t="s">
        <v>19</v>
      </c>
      <c r="C6" s="6" t="s">
        <v>12</v>
      </c>
      <c r="D6" s="6" t="s">
        <v>13</v>
      </c>
      <c r="E6" s="5">
        <v>0.16666666666666666</v>
      </c>
    </row>
    <row r="7" spans="1:5">
      <c r="A7">
        <v>6</v>
      </c>
      <c r="B7" s="6" t="s">
        <v>20</v>
      </c>
      <c r="C7" s="6" t="s">
        <v>12</v>
      </c>
      <c r="D7" s="6" t="s">
        <v>13</v>
      </c>
      <c r="E7" s="5">
        <v>0.11666666666666667</v>
      </c>
    </row>
    <row r="8" spans="1:5">
      <c r="A8">
        <v>7</v>
      </c>
      <c r="B8" s="6" t="s">
        <v>21</v>
      </c>
      <c r="C8" s="6" t="s">
        <v>12</v>
      </c>
      <c r="D8" s="6" t="s">
        <v>13</v>
      </c>
      <c r="E8" s="5">
        <v>0.18680555555555556</v>
      </c>
    </row>
    <row r="9" spans="1:5">
      <c r="A9">
        <v>8</v>
      </c>
      <c r="B9" s="6" t="s">
        <v>22</v>
      </c>
      <c r="C9" s="6" t="s">
        <v>23</v>
      </c>
      <c r="D9" s="6" t="s">
        <v>24</v>
      </c>
      <c r="E9" s="5">
        <v>0.17708333333333334</v>
      </c>
    </row>
    <row r="10" spans="1:5">
      <c r="A10">
        <v>9</v>
      </c>
      <c r="B10" s="6" t="s">
        <v>25</v>
      </c>
      <c r="C10" s="6" t="s">
        <v>26</v>
      </c>
      <c r="D10" s="6" t="s">
        <v>27</v>
      </c>
      <c r="E10" s="5">
        <v>0.17569444444444443</v>
      </c>
    </row>
    <row r="11" spans="1:5">
      <c r="A11">
        <v>10</v>
      </c>
      <c r="B11" s="6" t="s">
        <v>28</v>
      </c>
      <c r="C11" s="6" t="s">
        <v>9</v>
      </c>
      <c r="D11" s="6" t="s">
        <v>13</v>
      </c>
      <c r="E11" s="5">
        <v>0.12638888888888888</v>
      </c>
    </row>
    <row r="12" spans="1:5">
      <c r="A12">
        <v>11</v>
      </c>
      <c r="B12" s="6" t="s">
        <v>29</v>
      </c>
      <c r="C12" s="6" t="s">
        <v>30</v>
      </c>
      <c r="D12" s="6" t="s">
        <v>31</v>
      </c>
      <c r="E12" s="5">
        <v>0.14374999999999999</v>
      </c>
    </row>
    <row r="13" spans="1:5">
      <c r="A13">
        <v>12</v>
      </c>
      <c r="B13" s="6" t="s">
        <v>32</v>
      </c>
      <c r="C13" s="6" t="s">
        <v>12</v>
      </c>
      <c r="D13" s="6" t="s">
        <v>33</v>
      </c>
      <c r="E13" s="5">
        <v>0.19305555555555556</v>
      </c>
    </row>
    <row r="14" spans="1:5">
      <c r="A14">
        <v>13</v>
      </c>
      <c r="B14" s="6" t="s">
        <v>34</v>
      </c>
      <c r="C14" s="6" t="s">
        <v>35</v>
      </c>
      <c r="D14" s="6" t="s">
        <v>36</v>
      </c>
      <c r="E14" s="5">
        <v>0.10694444444444444</v>
      </c>
    </row>
    <row r="15" spans="1:5">
      <c r="A15">
        <v>14</v>
      </c>
      <c r="B15" s="6" t="s">
        <v>37</v>
      </c>
      <c r="C15" s="6" t="s">
        <v>12</v>
      </c>
      <c r="D15" s="6" t="s">
        <v>13</v>
      </c>
      <c r="E15" s="5">
        <v>0.18680555555555556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A9471-B893-452C-A2E5-2BE2DE962EC8}">
  <dimension ref="E2:E20"/>
  <sheetViews>
    <sheetView workbookViewId="0"/>
  </sheetViews>
  <sheetFormatPr defaultRowHeight="19.5"/>
  <cols>
    <col min="1" max="1" width="10.77734375" bestFit="1" customWidth="1"/>
    <col min="2" max="2" width="26" bestFit="1" customWidth="1"/>
    <col min="3" max="3" width="80.77734375" bestFit="1" customWidth="1"/>
    <col min="4" max="4" width="42.7773437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  <row r="17" spans="5:5">
      <c r="E17" s="5"/>
    </row>
    <row r="18" spans="5:5">
      <c r="E18" s="5"/>
    </row>
    <row r="19" spans="5:5">
      <c r="E19" s="5"/>
    </row>
    <row r="20" spans="5:5">
      <c r="E20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4F70-3CFA-4D7D-8B4F-8DB0EC8B0E73}">
  <dimension ref="E2:E16"/>
  <sheetViews>
    <sheetView workbookViewId="0">
      <selection sqref="A1:XFD1048576"/>
    </sheetView>
  </sheetViews>
  <sheetFormatPr defaultRowHeight="19.5"/>
  <cols>
    <col min="1" max="1" width="11" bestFit="1" customWidth="1"/>
    <col min="2" max="2" width="20.6640625" bestFit="1" customWidth="1"/>
    <col min="3" max="3" width="80.88671875" bestFit="1" customWidth="1"/>
    <col min="4" max="4" width="38.4414062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テーブル 5 (27)</vt:lpstr>
      <vt:lpstr>テーブル 5 (25)</vt:lpstr>
      <vt:lpstr>テーブル 5 (23)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2025-01-12T12:33:26Z</dcterms:modified>
</cp:coreProperties>
</file>