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9E41535A-AF1F-4B7C-A935-8618971D5F7E}" xr6:coauthVersionLast="47" xr6:coauthVersionMax="47" xr10:uidLastSave="{00000000-0000-0000-0000-000000000000}"/>
  <bookViews>
    <workbookView xWindow="2625" yWindow="90" windowWidth="23370" windowHeight="14520" activeTab="1" xr2:uid="{00000000-000D-0000-FFFF-FFFF00000000}"/>
  </bookViews>
  <sheets>
    <sheet name="Sheet1" sheetId="1" r:id="rId1"/>
    <sheet name="Sheet2" sheetId="2" r:id="rId2"/>
    <sheet name="テーブル 5 (91)" sheetId="86" r:id="rId3"/>
    <sheet name="Sheet3" sheetId="84" r:id="rId4"/>
  </sheets>
  <definedNames>
    <definedName name="ExternalData_1" localSheetId="0" hidden="1">Sheet1!$A$1:$E$15</definedName>
    <definedName name="ExternalData_1" localSheetId="2" hidden="1">'テーブル 5 (91)'!$A$1:$E$15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B34" i="2"/>
  <c r="J33" i="2"/>
  <c r="B33" i="2"/>
  <c r="J32" i="2"/>
  <c r="B32" i="2"/>
  <c r="J31" i="2"/>
  <c r="B31" i="2"/>
  <c r="J30" i="2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F11" i="2" l="1"/>
  <c r="F7" i="2"/>
  <c r="F34" i="2"/>
  <c r="F31" i="2"/>
  <c r="F33" i="2"/>
  <c r="F32" i="2"/>
  <c r="D32" i="2"/>
  <c r="D34" i="2"/>
  <c r="D31" i="2"/>
  <c r="D33" i="2"/>
  <c r="H34" i="2"/>
  <c r="H31" i="2"/>
  <c r="H33" i="2"/>
  <c r="H32" i="2"/>
  <c r="H24" i="2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H14" i="2"/>
  <c r="D16" i="2"/>
  <c r="F19" i="2"/>
  <c r="H22" i="2"/>
  <c r="D24" i="2"/>
  <c r="F2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67630F53-615F-47F6-8ACF-7DC5F8B7FED2}" keepAlive="1" name="クエリ - テーブル 5 (69)" description="ブック内の 'テーブル 5 (69)' クエリへの接続です。" type="5" refreshedVersion="8" background="1" saveData="1">
    <dbPr connection="Provider=Microsoft.Mashup.OleDb.1;Data Source=$Workbook$;Location=&quot;テーブル 5 (69)&quot;;Extended Properties=&quot;&quot;" command="SELECT * FROM [テーブル 5 (69)]"/>
  </connection>
  <connection id="145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6" xr16:uid="{B1AF6235-A445-4E85-9851-1DC33458ECA3}" keepAlive="1" name="クエリ - テーブル 5 (70)" description="ブック内の 'テーブル 5 (70)' クエリへの接続です。" type="5" refreshedVersion="8" background="1" saveData="1">
    <dbPr connection="Provider=Microsoft.Mashup.OleDb.1;Data Source=$Workbook$;Location=&quot;テーブル 5 (70)&quot;;Extended Properties=&quot;&quot;" command="SELECT * FROM [テーブル 5 (70)]"/>
  </connection>
  <connection id="147" xr16:uid="{11083B9F-7A86-4C8D-8EA3-740D72E29A11}" keepAlive="1" name="クエリ - テーブル 5 (71)" description="ブック内の 'テーブル 5 (71)' クエリへの接続です。" type="5" refreshedVersion="0" background="1">
    <dbPr connection="Provider=Microsoft.Mashup.OleDb.1;Data Source=$Workbook$;Location=&quot;テーブル 5 (71)&quot;;Extended Properties=&quot;&quot;" command="SELECT * FROM [テーブル 5 (71)]"/>
  </connection>
  <connection id="148" xr16:uid="{4DB7AD5A-B418-47B8-9B01-035F877738C0}" keepAlive="1" name="クエリ - テーブル 5 (72)" description="ブック内の 'テーブル 5 (72)' クエリへの接続です。" type="5" refreshedVersion="8" background="1" saveData="1">
    <dbPr connection="Provider=Microsoft.Mashup.OleDb.1;Data Source=$Workbook$;Location=&quot;テーブル 5 (72)&quot;;Extended Properties=&quot;&quot;" command="SELECT * FROM [テーブル 5 (72)]"/>
  </connection>
  <connection id="149" xr16:uid="{9ABBB067-ADB3-4DC4-9351-030E8EA31DFE}" keepAlive="1" name="クエリ - テーブル 5 (73)" description="ブック内の 'テーブル 5 (73)' クエリへの接続です。" type="5" refreshedVersion="8" background="1" saveData="1">
    <dbPr connection="Provider=Microsoft.Mashup.OleDb.1;Data Source=$Workbook$;Location=&quot;テーブル 5 (73)&quot;;Extended Properties=&quot;&quot;" command="SELECT * FROM [テーブル 5 (73)]"/>
  </connection>
  <connection id="150" xr16:uid="{15E9F6A9-3AA5-4C0C-9881-C59BD0FD4DC1}" keepAlive="1" name="クエリ - テーブル 5 (74)" description="ブック内の 'テーブル 5 (74)' クエリへの接続です。" type="5" refreshedVersion="8" background="1" saveData="1">
    <dbPr connection="Provider=Microsoft.Mashup.OleDb.1;Data Source=$Workbook$;Location=&quot;テーブル 5 (74)&quot;;Extended Properties=&quot;&quot;" command="SELECT * FROM [テーブル 5 (74)]"/>
  </connection>
  <connection id="151" xr16:uid="{F0250E8D-4A68-4C6D-BEEE-6A79E5488BFD}" keepAlive="1" name="クエリ - テーブル 5 (75)" description="ブック内の 'テーブル 5 (75)' クエリへの接続です。" type="5" refreshedVersion="0" background="1">
    <dbPr connection="Provider=Microsoft.Mashup.OleDb.1;Data Source=$Workbook$;Location=&quot;テーブル 5 (75)&quot;;Extended Properties=&quot;&quot;" command="SELECT * FROM [テーブル 5 (75)]"/>
  </connection>
  <connection id="152" xr16:uid="{7603C545-7110-442E-A944-C950C2A962A6}" keepAlive="1" name="クエリ - テーブル 5 (76)" description="ブック内の 'テーブル 5 (76)' クエリへの接続です。" type="5" refreshedVersion="8" background="1" saveData="1">
    <dbPr connection="Provider=Microsoft.Mashup.OleDb.1;Data Source=$Workbook$;Location=&quot;テーブル 5 (76)&quot;;Extended Properties=&quot;&quot;" command="SELECT * FROM [テーブル 5 (76)]"/>
  </connection>
  <connection id="153" xr16:uid="{3F7CC578-1E46-42D8-ADCA-ACAA3B42ED93}" keepAlive="1" name="クエリ - テーブル 5 (77)" description="ブック内の 'テーブル 5 (77)' クエリへの接続です。" type="5" refreshedVersion="8" background="1" saveData="1">
    <dbPr connection="Provider=Microsoft.Mashup.OleDb.1;Data Source=$Workbook$;Location=&quot;テーブル 5 (77)&quot;;Extended Properties=&quot;&quot;" command="SELECT * FROM [テーブル 5 (77)]"/>
  </connection>
  <connection id="154" xr16:uid="{374AE247-1DB4-40CE-A720-AD2A5E2AA29C}" keepAlive="1" name="クエリ - テーブル 5 (78)" description="ブック内の 'テーブル 5 (78)' クエリへの接続です。" type="5" refreshedVersion="8" background="1" saveData="1">
    <dbPr connection="Provider=Microsoft.Mashup.OleDb.1;Data Source=$Workbook$;Location=&quot;テーブル 5 (78)&quot;;Extended Properties=&quot;&quot;" command="SELECT * FROM [テーブル 5 (78)]"/>
  </connection>
  <connection id="155" xr16:uid="{369560D6-2AB8-4192-87BF-D6A075B7A590}" keepAlive="1" name="クエリ - テーブル 5 (79)" description="ブック内の 'テーブル 5 (79)' クエリへの接続です。" type="5" refreshedVersion="8" background="1" saveData="1">
    <dbPr connection="Provider=Microsoft.Mashup.OleDb.1;Data Source=$Workbook$;Location=&quot;テーブル 5 (79)&quot;;Extended Properties=&quot;&quot;" command="SELECT * FROM [テーブル 5 (79)]"/>
  </connection>
  <connection id="156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57" xr16:uid="{1C4BC1A3-CF05-47AF-8EAB-2DC266D46C01}" keepAlive="1" name="クエリ - テーブル 5 (80)" description="ブック内の 'テーブル 5 (80)' クエリへの接続です。" type="5" refreshedVersion="8" background="1" saveData="1">
    <dbPr connection="Provider=Microsoft.Mashup.OleDb.1;Data Source=$Workbook$;Location=&quot;テーブル 5 (80)&quot;;Extended Properties=&quot;&quot;" command="SELECT * FROM [テーブル 5 (80)]"/>
  </connection>
  <connection id="158" xr16:uid="{229AD050-8164-49DA-83D4-829246EC27F1}" keepAlive="1" name="クエリ - テーブル 5 (81)" description="ブック内の 'テーブル 5 (81)' クエリへの接続です。" type="5" refreshedVersion="8" background="1" saveData="1">
    <dbPr connection="Provider=Microsoft.Mashup.OleDb.1;Data Source=$Workbook$;Location=&quot;テーブル 5 (81)&quot;;Extended Properties=&quot;&quot;" command="SELECT * FROM [テーブル 5 (81)]"/>
  </connection>
  <connection id="159" xr16:uid="{4EBAE136-702A-4021-8289-22F27A93E08F}" keepAlive="1" name="クエリ - テーブル 5 (82)" description="ブック内の 'テーブル 5 (82)' クエリへの接続です。" type="5" refreshedVersion="8" background="1" saveData="1">
    <dbPr connection="Provider=Microsoft.Mashup.OleDb.1;Data Source=$Workbook$;Location=&quot;テーブル 5 (82)&quot;;Extended Properties=&quot;&quot;" command="SELECT * FROM [テーブル 5 (82)]"/>
  </connection>
  <connection id="160" xr16:uid="{468B3505-0578-45BD-B7C5-3E3853D5808C}" keepAlive="1" name="クエリ - テーブル 5 (83)" description="ブック内の 'テーブル 5 (83)' クエリへの接続です。" type="5" refreshedVersion="8" background="1" saveData="1">
    <dbPr connection="Provider=Microsoft.Mashup.OleDb.1;Data Source=$Workbook$;Location=&quot;テーブル 5 (83)&quot;;Extended Properties=&quot;&quot;" command="SELECT * FROM [テーブル 5 (83)]"/>
  </connection>
  <connection id="161" xr16:uid="{A5011E8F-F905-4256-8294-33889EB58357}" keepAlive="1" name="クエリ - テーブル 5 (84)" description="ブック内の 'テーブル 5 (84)' クエリへの接続です。" type="5" refreshedVersion="8" background="1" saveData="1">
    <dbPr connection="Provider=Microsoft.Mashup.OleDb.1;Data Source=$Workbook$;Location=&quot;テーブル 5 (84)&quot;;Extended Properties=&quot;&quot;" command="SELECT * FROM [テーブル 5 (84)]"/>
  </connection>
  <connection id="162" xr16:uid="{CAB5ECC6-950E-4478-88D6-1C9026B8B5F1}" keepAlive="1" name="クエリ - テーブル 5 (85)" description="ブック内の 'テーブル 5 (85)' クエリへの接続です。" type="5" refreshedVersion="8" background="1" saveData="1">
    <dbPr connection="Provider=Microsoft.Mashup.OleDb.1;Data Source=$Workbook$;Location=&quot;テーブル 5 (85)&quot;;Extended Properties=&quot;&quot;" command="SELECT * FROM [テーブル 5 (85)]"/>
  </connection>
  <connection id="163" xr16:uid="{79753507-8B86-48CF-A39B-BC8907DC6177}" keepAlive="1" name="クエリ - テーブル 5 (86)" description="ブック内の 'テーブル 5 (86)' クエリへの接続です。" type="5" refreshedVersion="8" background="1" saveData="1">
    <dbPr connection="Provider=Microsoft.Mashup.OleDb.1;Data Source=$Workbook$;Location=&quot;テーブル 5 (86)&quot;;Extended Properties=&quot;&quot;" command="SELECT * FROM [テーブル 5 (86)]"/>
  </connection>
  <connection id="164" xr16:uid="{51E24E1F-2DA9-4D17-ABA5-F450AFDAA74B}" keepAlive="1" name="クエリ - テーブル 5 (87)" description="ブック内の 'テーブル 5 (87)' クエリへの接続です。" type="5" refreshedVersion="8" background="1" saveData="1">
    <dbPr connection="Provider=Microsoft.Mashup.OleDb.1;Data Source=$Workbook$;Location=&quot;テーブル 5 (87)&quot;;Extended Properties=&quot;&quot;" command="SELECT * FROM [テーブル 5 (87)]"/>
  </connection>
  <connection id="165" xr16:uid="{DB4C105A-63FF-4F8B-9BC2-F5FFCCD8F744}" keepAlive="1" name="クエリ - テーブル 5 (88)" description="ブック内の 'テーブル 5 (88)' クエリへの接続です。" type="5" refreshedVersion="8" background="1" saveData="1">
    <dbPr connection="Provider=Microsoft.Mashup.OleDb.1;Data Source=$Workbook$;Location=&quot;テーブル 5 (88)&quot;;Extended Properties=&quot;&quot;" command="SELECT * FROM [テーブル 5 (88)]"/>
  </connection>
  <connection id="166" xr16:uid="{79FEB04E-2966-400E-90C2-BE7F46D96586}" keepAlive="1" name="クエリ - テーブル 5 (89)" description="ブック内の 'テーブル 5 (89)' クエリへの接続です。" type="5" refreshedVersion="8" background="1" saveData="1">
    <dbPr connection="Provider=Microsoft.Mashup.OleDb.1;Data Source=$Workbook$;Location=&quot;テーブル 5 (89)&quot;;Extended Properties=&quot;&quot;" command="SELECT * FROM [テーブル 5 (89)]"/>
  </connection>
  <connection id="167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  <connection id="168" xr16:uid="{216E639C-9CA3-488A-9BAF-6E925A7E351F}" keepAlive="1" name="クエリ - テーブル 5 (90)" description="ブック内の 'テーブル 5 (90)' クエリへの接続です。" type="5" refreshedVersion="8" background="1" saveData="1">
    <dbPr connection="Provider=Microsoft.Mashup.OleDb.1;Data Source=$Workbook$;Location=&quot;テーブル 5 (90)&quot;;Extended Properties=&quot;&quot;" command="SELECT * FROM [テーブル 5 (90)]"/>
  </connection>
  <connection id="169" xr16:uid="{E6A35D59-60B3-49B3-AF49-E8EFFE8D94A0}" keepAlive="1" name="クエリ - テーブル 5 (91)" description="ブック内の 'テーブル 5 (91)' クエリへの接続です。" type="5" refreshedVersion="8" background="1" saveData="1">
    <dbPr connection="Provider=Microsoft.Mashup.OleDb.1;Data Source=$Workbook$;Location=&quot;テーブル 5 (91)&quot;;Extended Properties=&quot;&quot;" command="SELECT * FROM [テーブル 5 (91)]"/>
  </connection>
  <connection id="170" xr16:uid="{DA741BCF-1715-4E66-A6CD-B5110C003A17}" keepAlive="1" name="クエリ - テーブル 5 (92)" description="ブック内の 'テーブル 5 (92)' クエリへの接続です。" type="5" refreshedVersion="8" background="1" saveData="1">
    <dbPr connection="Provider=Microsoft.Mashup.OleDb.1;Data Source=$Workbook$;Location=&quot;テーブル 5 (92)&quot;;Extended Properties=&quot;&quot;" command="SELECT * FROM [テーブル 5 (92)]"/>
  </connection>
</connections>
</file>

<file path=xl/sharedStrings.xml><?xml version="1.0" encoding="utf-8"?>
<sst xmlns="http://schemas.openxmlformats.org/spreadsheetml/2006/main" count="288" uniqueCount="30">
  <si>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</si>
  <si>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</si>
  <si>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</si>
  <si>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</si>
  <si>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</si>
  <si>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</si>
  <si>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</si>
  <si>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</si>
  <si>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1995</t>
  </si>
  <si>
    <t>Frederick Tipton, Daniel Maman</t>
  </si>
  <si>
    <t>The Alchemist / Freddie Gibbs</t>
  </si>
  <si>
    <t>Mar-a-Lago</t>
  </si>
  <si>
    <t>Lemon Pepper Steppers</t>
  </si>
  <si>
    <t>Ensalada</t>
  </si>
  <si>
    <t>Frederick Tipton, Daniel Maman, Brandon Paak Anderson</t>
  </si>
  <si>
    <t>The Alchemist / Freddie Gibbs feat. Anderson .Paak</t>
  </si>
  <si>
    <t>Empanadas</t>
  </si>
  <si>
    <t>Skinny Suge II</t>
  </si>
  <si>
    <t>Feeling</t>
  </si>
  <si>
    <t>Frederick Tipton, Daniel Maman, Leonard Eugene Hendriocks III</t>
  </si>
  <si>
    <t>The Alchemist / Freddie Gibbs feat. Larry June</t>
  </si>
  <si>
    <t>I Still Love H. E. R.</t>
  </si>
  <si>
    <t>Shangri-La</t>
  </si>
  <si>
    <t>Gas Station Sushi</t>
  </si>
  <si>
    <t>Lavish Habits</t>
  </si>
  <si>
    <t>Gold Feet</t>
  </si>
  <si>
    <t>Frederick Tipton, Daniel Maman, Destin Route</t>
  </si>
  <si>
    <t>The Alchemist / Freddie Gibbs feat. JID</t>
  </si>
  <si>
    <t>Jean Claude</t>
  </si>
  <si>
    <t>A Thousand Mountains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</si>
</sst>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0" xr16:uid="{76A8C8D3-3C8D-465D-A4DF-60B916DCE332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9" xr16:uid="{263762DC-DBE1-4271-8A52-12B5229D7AFC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98FC07-0019-43D3-89B4-80F8851537BD}" name="テーブル_5__913" displayName="テーブル_5__913" ref="A1:E15" tableType="queryTable" totalsRowShown="0">
  <autoFilter ref="A1:E15" xr:uid="{0698FC07-0019-43D3-89B4-80F8851537BD}"/>
  <tableColumns count="5">
    <tableColumn id="1" xr3:uid="{3687A940-0BFD-4E6A-895C-271BA4621A09}" uniqueName="1" name="Column1" queryTableFieldId="1"/>
    <tableColumn id="2" xr3:uid="{0866F9C2-1180-45D8-B277-0CB85125D2D1}" uniqueName="2" name="Title" queryTableFieldId="2" dataDxfId="3"/>
    <tableColumn id="3" xr3:uid="{A424B762-6872-44DB-8892-76088F40468F}" uniqueName="3" name="Composer" queryTableFieldId="3" dataDxfId="2"/>
    <tableColumn id="4" xr3:uid="{CFB02625-7AE3-4797-873D-283F95F6ABD2}" uniqueName="4" name="Performer" queryTableFieldId="4" dataDxfId="1"/>
    <tableColumn id="5" xr3:uid="{C480DC3D-70E9-44E1-A7BE-AB869558F4FA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D50FD-6EB4-4E45-85E4-0079AF93BE40}" name="テーブル_5__91" displayName="テーブル_5__91" ref="A1:E15" tableType="queryTable" totalsRowShown="0">
  <autoFilter ref="A1:E15" xr:uid="{E06D50FD-6EB4-4E45-85E4-0079AF93BE40}"/>
  <tableColumns count="5">
    <tableColumn id="1" xr3:uid="{89950A3E-0D36-44C2-A496-36A9E8B483F0}" uniqueName="1" name="Column1" queryTableFieldId="1"/>
    <tableColumn id="2" xr3:uid="{698C85F0-000C-4142-BDAF-4E29DDFBB4C0}" uniqueName="2" name="Title" queryTableFieldId="2" dataDxfId="7"/>
    <tableColumn id="3" xr3:uid="{24BBEC3C-2DFE-4262-83AD-F1F5B6D1BE09}" uniqueName="3" name="Composer" queryTableFieldId="3" dataDxfId="6"/>
    <tableColumn id="4" xr3:uid="{EB60058B-36E2-4AA8-9C7F-9BEC98B7A664}" uniqueName="4" name="Performer" queryTableFieldId="4" dataDxfId="5"/>
    <tableColumn id="5" xr3:uid="{36D1F9AB-2666-454D-AAAD-E08287976E72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A6" workbookViewId="0">
      <selection activeCell="A6" sqref="A1:XFD1048576"/>
    </sheetView>
  </sheetViews>
  <sheetFormatPr defaultRowHeight="19.5"/>
  <cols>
    <col min="1" max="1" width="11" bestFit="1" customWidth="1"/>
    <col min="2" max="2" width="22.6640625" bestFit="1" customWidth="1"/>
    <col min="3" max="3" width="58.6640625" bestFit="1" customWidth="1"/>
    <col min="4" max="4" width="47.66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0.20069444444444445</v>
      </c>
    </row>
    <row r="3" spans="1:5">
      <c r="A3">
        <v>2</v>
      </c>
      <c r="B3" s="6" t="s">
        <v>11</v>
      </c>
      <c r="C3" s="6" t="s">
        <v>9</v>
      </c>
      <c r="D3" s="6" t="s">
        <v>10</v>
      </c>
      <c r="E3" s="5">
        <v>0.12430555555555556</v>
      </c>
    </row>
    <row r="4" spans="1:5">
      <c r="A4">
        <v>3</v>
      </c>
      <c r="B4" s="6" t="s">
        <v>12</v>
      </c>
      <c r="C4" s="6" t="s">
        <v>9</v>
      </c>
      <c r="D4" s="6" t="s">
        <v>10</v>
      </c>
      <c r="E4" s="5">
        <v>0.11527777777777778</v>
      </c>
    </row>
    <row r="5" spans="1:5">
      <c r="A5">
        <v>4</v>
      </c>
      <c r="B5" s="6" t="s">
        <v>13</v>
      </c>
      <c r="C5" s="6" t="s">
        <v>14</v>
      </c>
      <c r="D5" s="6" t="s">
        <v>15</v>
      </c>
      <c r="E5" s="5">
        <v>0.15694444444444444</v>
      </c>
    </row>
    <row r="6" spans="1:5">
      <c r="A6">
        <v>5</v>
      </c>
      <c r="B6" s="6" t="s">
        <v>16</v>
      </c>
      <c r="C6" s="6" t="s">
        <v>9</v>
      </c>
      <c r="D6" s="6" t="s">
        <v>10</v>
      </c>
      <c r="E6" s="5">
        <v>0.13055555555555556</v>
      </c>
    </row>
    <row r="7" spans="1:5">
      <c r="A7">
        <v>6</v>
      </c>
      <c r="B7" s="6" t="s">
        <v>17</v>
      </c>
      <c r="C7" s="6" t="s">
        <v>9</v>
      </c>
      <c r="D7" s="6" t="s">
        <v>10</v>
      </c>
      <c r="E7" s="5">
        <v>0.13263888888888889</v>
      </c>
    </row>
    <row r="8" spans="1:5">
      <c r="A8">
        <v>7</v>
      </c>
      <c r="B8" s="6" t="s">
        <v>18</v>
      </c>
      <c r="C8" s="6" t="s">
        <v>19</v>
      </c>
      <c r="D8" s="6" t="s">
        <v>20</v>
      </c>
      <c r="E8" s="5">
        <v>0.16319444444444445</v>
      </c>
    </row>
    <row r="9" spans="1:5">
      <c r="A9">
        <v>8</v>
      </c>
      <c r="B9" s="6" t="s">
        <v>21</v>
      </c>
      <c r="C9" s="6" t="s">
        <v>9</v>
      </c>
      <c r="D9" s="6" t="s">
        <v>10</v>
      </c>
      <c r="E9" s="5">
        <v>0.11944444444444445</v>
      </c>
    </row>
    <row r="10" spans="1:5">
      <c r="A10">
        <v>9</v>
      </c>
      <c r="B10" s="6" t="s">
        <v>22</v>
      </c>
      <c r="C10" s="6" t="s">
        <v>9</v>
      </c>
      <c r="D10" s="6" t="s">
        <v>10</v>
      </c>
      <c r="E10" s="5">
        <v>0.12638888888888888</v>
      </c>
    </row>
    <row r="11" spans="1:5">
      <c r="A11">
        <v>10</v>
      </c>
      <c r="B11" s="6" t="s">
        <v>23</v>
      </c>
      <c r="C11" s="6" t="s">
        <v>9</v>
      </c>
      <c r="D11" s="6" t="s">
        <v>10</v>
      </c>
      <c r="E11" s="5">
        <v>0.1451388888888889</v>
      </c>
    </row>
    <row r="12" spans="1:5">
      <c r="A12">
        <v>11</v>
      </c>
      <c r="B12" s="6" t="s">
        <v>24</v>
      </c>
      <c r="C12" s="6" t="s">
        <v>9</v>
      </c>
      <c r="D12" s="6" t="s">
        <v>10</v>
      </c>
      <c r="E12" s="5">
        <v>0.12291666666666666</v>
      </c>
    </row>
    <row r="13" spans="1:5">
      <c r="A13">
        <v>12</v>
      </c>
      <c r="B13" s="6" t="s">
        <v>25</v>
      </c>
      <c r="C13" s="6" t="s">
        <v>26</v>
      </c>
      <c r="D13" s="6" t="s">
        <v>27</v>
      </c>
      <c r="E13" s="5">
        <v>0.15347222222222223</v>
      </c>
    </row>
    <row r="14" spans="1:5">
      <c r="A14">
        <v>13</v>
      </c>
      <c r="B14" s="6" t="s">
        <v>28</v>
      </c>
      <c r="C14" s="6" t="s">
        <v>9</v>
      </c>
      <c r="D14" s="6" t="s">
        <v>10</v>
      </c>
      <c r="E14" s="5">
        <v>0.12777777777777777</v>
      </c>
    </row>
    <row r="15" spans="1:5">
      <c r="A15">
        <v>14</v>
      </c>
      <c r="B15" s="6" t="s">
        <v>29</v>
      </c>
      <c r="C15" s="6" t="s">
        <v>9</v>
      </c>
      <c r="D15" s="6" t="s">
        <v>10</v>
      </c>
      <c r="E15" s="5">
        <v>0.17083333333333334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4"/>
  <sheetViews>
    <sheetView tabSelected="1" topLeftCell="A3" workbookViewId="0">
      <selection activeCell="K18" sqref="A3:K18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21</v>
      </c>
      <c r="F2" s="1">
        <f t="array" ref="F2">MAX(LENB(Sheet1!C1:'Sheet1'!C30))</f>
        <v>61</v>
      </c>
      <c r="H2" s="1">
        <f t="array" ref="H2">MAX(LENB(Sheet1!D1:'Sheet1'!D30))</f>
        <v>50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</v>
      </c>
      <c r="E3" s="3" t="s">
        <v>0</v>
      </c>
      <c r="F3" t="str">
        <f>" "&amp;LEFTB("Composers"&amp;REPT(" ",$F$2-1),$F$2-1)</f>
        <v xml:space="preserve"> Composers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 </v>
      </c>
      <c r="E4" s="3" t="s">
        <v>0</v>
      </c>
      <c r="F4" t="str">
        <f>" "&amp;REPT("-",$F$2)&amp;" "</f>
        <v xml:space="preserve"> ------------------------------------------------------------- </v>
      </c>
      <c r="G4" s="3" t="s">
        <v>0</v>
      </c>
      <c r="H4" t="str">
        <f>" "&amp;REPT("-",$H$2)&amp;" "</f>
        <v xml:space="preserve"> --------------------------------------------------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1995                 </v>
      </c>
      <c r="E5" s="3" t="s">
        <v>0</v>
      </c>
      <c r="F5" t="str">
        <f>" "&amp;LEFTB(Sheet1!C2&amp;REPT(" ",$F$2),$F$2)</f>
        <v xml:space="preserve"> Frederick Tipton, Daniel Maman                               </v>
      </c>
      <c r="G5" s="3" t="s">
        <v>0</v>
      </c>
      <c r="H5" t="str">
        <f>LEFTB(Sheet1!D2&amp;REPT(" ",$H$2),$H$2)</f>
        <v xml:space="preserve">The Alchemist / Freddie Gibbs                     </v>
      </c>
      <c r="I5" s="3" t="s">
        <v>0</v>
      </c>
      <c r="J5" s="2" t="str">
        <f>TEXT(Sheet1!E2,"HH:MM")&amp;" "</f>
        <v xml:space="preserve">04:49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Mar-a-Lago           </v>
      </c>
      <c r="E6" s="3" t="s">
        <v>0</v>
      </c>
      <c r="F6" t="str">
        <f>" "&amp;LEFTB(Sheet1!C3&amp;REPT(" ",$F$2),$F$2)</f>
        <v xml:space="preserve"> Frederick Tipton, Daniel Maman                               </v>
      </c>
      <c r="G6" s="3" t="s">
        <v>0</v>
      </c>
      <c r="H6" t="str">
        <f>LEFTB(Sheet1!D3&amp;REPT(" ",$H$2),$H$2)</f>
        <v xml:space="preserve">The Alchemist / Freddie Gibbs                     </v>
      </c>
      <c r="I6" s="3" t="s">
        <v>0</v>
      </c>
      <c r="J6" s="2" t="str">
        <f>TEXT(Sheet1!E3,"HH:MM")&amp;" "</f>
        <v xml:space="preserve">02:59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>Lemon Pepper Steppers</v>
      </c>
      <c r="E7" s="3" t="s">
        <v>0</v>
      </c>
      <c r="F7" t="str">
        <f>" "&amp;LEFTB(Sheet1!C4&amp;REPT(" ",$F$2),$F$2)</f>
        <v xml:space="preserve"> Frederick Tipton, Daniel Maman                               </v>
      </c>
      <c r="G7" s="3" t="s">
        <v>0</v>
      </c>
      <c r="H7" t="str">
        <f>LEFTB(Sheet1!D4&amp;REPT(" ",$H$2),$H$2)</f>
        <v xml:space="preserve">The Alchemist / Freddie Gibbs                     </v>
      </c>
      <c r="I7" s="3" t="s">
        <v>0</v>
      </c>
      <c r="J7" s="2" t="str">
        <f>TEXT(Sheet1!E4,"HH:MM")&amp;" "</f>
        <v xml:space="preserve">02:46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Ensalada             </v>
      </c>
      <c r="E8" s="3" t="s">
        <v>0</v>
      </c>
      <c r="F8" t="str">
        <f>" "&amp;LEFTB(Sheet1!C5&amp;REPT(" ",$F$2),$F$2)</f>
        <v xml:space="preserve"> Frederick Tipton, Daniel Maman, Brandon Paak Anderson        </v>
      </c>
      <c r="G8" s="3" t="s">
        <v>0</v>
      </c>
      <c r="H8" t="str">
        <f>LEFTB(Sheet1!D5&amp;REPT(" ",$H$2),$H$2)</f>
        <v>The Alchemist / Freddie Gibbs feat. Anderson .Paak</v>
      </c>
      <c r="I8" s="3" t="s">
        <v>0</v>
      </c>
      <c r="J8" s="2" t="str">
        <f>TEXT(Sheet1!E5,"HH:MM")&amp;" "</f>
        <v xml:space="preserve">03:46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Empanadas            </v>
      </c>
      <c r="E9" s="3" t="s">
        <v>0</v>
      </c>
      <c r="F9" t="str">
        <f>" "&amp;LEFTB(Sheet1!C6&amp;REPT(" ",$F$2),$F$2)</f>
        <v xml:space="preserve"> Frederick Tipton, Daniel Maman                               </v>
      </c>
      <c r="G9" s="3" t="s">
        <v>0</v>
      </c>
      <c r="H9" t="str">
        <f>LEFTB(Sheet1!D6&amp;REPT(" ",$H$2),$H$2)</f>
        <v xml:space="preserve">The Alchemist / Freddie Gibbs                     </v>
      </c>
      <c r="I9" s="3" t="s">
        <v>0</v>
      </c>
      <c r="J9" s="2" t="str">
        <f>TEXT(Sheet1!E6,"HH:MM")&amp;" "</f>
        <v xml:space="preserve">03:08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Skinny Suge II       </v>
      </c>
      <c r="E10" s="3" t="s">
        <v>0</v>
      </c>
      <c r="F10" t="str">
        <f>" "&amp;LEFTB(Sheet1!C7&amp;REPT(" ",$F$2),$F$2)</f>
        <v xml:space="preserve"> Frederick Tipton, Daniel Maman                               </v>
      </c>
      <c r="G10" s="3" t="s">
        <v>0</v>
      </c>
      <c r="H10" t="str">
        <f>LEFTB(Sheet1!D7&amp;REPT(" ",$H$2),$H$2)</f>
        <v xml:space="preserve">The Alchemist / Freddie Gibbs                     </v>
      </c>
      <c r="I10" s="3" t="s">
        <v>0</v>
      </c>
      <c r="J10" s="2" t="str">
        <f>TEXT(Sheet1!E7,"HH:MM")&amp;" "</f>
        <v xml:space="preserve">03:11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Feeling              </v>
      </c>
      <c r="E11" s="3" t="s">
        <v>0</v>
      </c>
      <c r="F11" t="str">
        <f>" "&amp;LEFTB(Sheet1!C8&amp;REPT(" ",$F$2),$F$2)</f>
        <v xml:space="preserve"> Frederick Tipton, Daniel Maman, Leonard Eugene Hendriocks III</v>
      </c>
      <c r="G11" s="3" t="s">
        <v>0</v>
      </c>
      <c r="H11" t="str">
        <f>LEFTB(Sheet1!D8&amp;REPT(" ",$H$2),$H$2)</f>
        <v xml:space="preserve">The Alchemist / Freddie Gibbs feat. Larry June    </v>
      </c>
      <c r="I11" s="3" t="s">
        <v>0</v>
      </c>
      <c r="J11" s="2" t="str">
        <f>TEXT(Sheet1!E8,"HH:MM")&amp;" "</f>
        <v xml:space="preserve">03:55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>I Still Love H. E. R.</v>
      </c>
      <c r="E12" s="3" t="s">
        <v>0</v>
      </c>
      <c r="F12" t="str">
        <f>" "&amp;LEFTB(Sheet1!C9&amp;REPT(" ",$F$2),$F$2)</f>
        <v xml:space="preserve"> Frederick Tipton, Daniel Maman                               </v>
      </c>
      <c r="G12" s="3" t="s">
        <v>0</v>
      </c>
      <c r="H12" t="str">
        <f>LEFTB(Sheet1!D9&amp;REPT(" ",$H$2),$H$2)</f>
        <v xml:space="preserve">The Alchemist / Freddie Gibbs                     </v>
      </c>
      <c r="I12" s="3" t="s">
        <v>0</v>
      </c>
      <c r="J12" s="2" t="str">
        <f>TEXT(Sheet1!E9,"HH:MM")&amp;" "</f>
        <v xml:space="preserve">02:52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Shangri-La           </v>
      </c>
      <c r="E13" s="3" t="s">
        <v>0</v>
      </c>
      <c r="F13" t="str">
        <f>" "&amp;LEFTB(Sheet1!C10&amp;REPT(" ",$F$2),$F$2)</f>
        <v xml:space="preserve"> Frederick Tipton, Daniel Maman                               </v>
      </c>
      <c r="G13" s="3" t="s">
        <v>0</v>
      </c>
      <c r="H13" t="str">
        <f>LEFTB(Sheet1!D10&amp;REPT(" ",$H$2),$H$2)</f>
        <v xml:space="preserve">The Alchemist / Freddie Gibbs                     </v>
      </c>
      <c r="I13" s="3" t="s">
        <v>0</v>
      </c>
      <c r="J13" s="2" t="str">
        <f>TEXT(Sheet1!E10,"HH:MM")&amp;" "</f>
        <v xml:space="preserve">03:02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Gas Station Sushi    </v>
      </c>
      <c r="E14" s="3" t="s">
        <v>0</v>
      </c>
      <c r="F14" t="str">
        <f>" "&amp;LEFTB(Sheet1!C11&amp;REPT(" ",$F$2),$F$2)</f>
        <v xml:space="preserve"> Frederick Tipton, Daniel Maman                               </v>
      </c>
      <c r="G14" s="3" t="s">
        <v>0</v>
      </c>
      <c r="H14" t="str">
        <f>LEFTB(Sheet1!D11&amp;REPT(" ",$H$2),$H$2)</f>
        <v xml:space="preserve">The Alchemist / Freddie Gibbs                     </v>
      </c>
      <c r="I14" s="3" t="s">
        <v>0</v>
      </c>
      <c r="J14" s="2" t="str">
        <f>TEXT(Sheet1!E11,"HH:MM")&amp;" "</f>
        <v xml:space="preserve">03:29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Lavish Habits        </v>
      </c>
      <c r="E15" s="3" t="s">
        <v>0</v>
      </c>
      <c r="F15" t="str">
        <f>" "&amp;LEFTB(Sheet1!C12&amp;REPT(" ",$F$2),$F$2)</f>
        <v xml:space="preserve"> Frederick Tipton, Daniel Maman                               </v>
      </c>
      <c r="G15" s="3" t="s">
        <v>0</v>
      </c>
      <c r="H15" t="str">
        <f>LEFTB(Sheet1!D12&amp;REPT(" ",$H$2),$H$2)</f>
        <v xml:space="preserve">The Alchemist / Freddie Gibbs                     </v>
      </c>
      <c r="I15" s="3" t="s">
        <v>0</v>
      </c>
      <c r="J15" s="2" t="str">
        <f>TEXT(Sheet1!E12,"HH:MM")&amp;" "</f>
        <v xml:space="preserve">02:57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Gold Feet            </v>
      </c>
      <c r="E16" s="3" t="s">
        <v>0</v>
      </c>
      <c r="F16" t="str">
        <f>" "&amp;LEFTB(Sheet1!C13&amp;REPT(" ",$F$2),$F$2)</f>
        <v xml:space="preserve"> Frederick Tipton, Daniel Maman, Destin Route                 </v>
      </c>
      <c r="G16" s="3" t="s">
        <v>0</v>
      </c>
      <c r="H16" t="str">
        <f>LEFTB(Sheet1!D13&amp;REPT(" ",$H$2),$H$2)</f>
        <v xml:space="preserve">The Alchemist / Freddie Gibbs feat. JID           </v>
      </c>
      <c r="I16" s="3" t="s">
        <v>0</v>
      </c>
      <c r="J16" s="2" t="str">
        <f>TEXT(Sheet1!E13,"HH:MM")&amp;" "</f>
        <v xml:space="preserve">03:41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Jean Claude          </v>
      </c>
      <c r="E17" s="3" t="s">
        <v>0</v>
      </c>
      <c r="F17" t="str">
        <f>" "&amp;LEFTB(Sheet1!C14&amp;REPT(" ",$F$2),$F$2)</f>
        <v xml:space="preserve"> Frederick Tipton, Daniel Maman                               </v>
      </c>
      <c r="G17" s="3" t="s">
        <v>0</v>
      </c>
      <c r="H17" t="str">
        <f>LEFTB(Sheet1!D14&amp;REPT(" ",$H$2),$H$2)</f>
        <v xml:space="preserve">The Alchemist / Freddie Gibbs                     </v>
      </c>
      <c r="I17" s="3" t="s">
        <v>0</v>
      </c>
      <c r="J17" s="2" t="str">
        <f>TEXT(Sheet1!E14,"HH:MM")&amp;" "</f>
        <v xml:space="preserve">03:04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A Thousand Mountains </v>
      </c>
      <c r="E18" s="3" t="s">
        <v>0</v>
      </c>
      <c r="F18" t="str">
        <f>" "&amp;LEFTB(Sheet1!C15&amp;REPT(" ",$F$2),$F$2)</f>
        <v xml:space="preserve"> Frederick Tipton, Daniel Maman                               </v>
      </c>
      <c r="G18" s="3" t="s">
        <v>0</v>
      </c>
      <c r="H18" t="str">
        <f>LEFTB(Sheet1!D15&amp;REPT(" ",$H$2),$H$2)</f>
        <v xml:space="preserve">The Alchemist / Freddie Gibbs                     </v>
      </c>
      <c r="I18" s="3" t="s">
        <v>0</v>
      </c>
      <c r="J18" s="2" t="str">
        <f>TEXT(Sheet1!E15,"HH:MM")&amp;" "</f>
        <v xml:space="preserve">04:06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   </v>
      </c>
      <c r="E19" s="3" t="s">
        <v>0</v>
      </c>
      <c r="F19" t="str">
        <f>" "&amp;LEFTB(Sheet1!C16&amp;REPT(" ",$F$2),$F$2)</f>
        <v xml:space="preserve">                                                              </v>
      </c>
      <c r="G19" s="3" t="s">
        <v>0</v>
      </c>
      <c r="H19" t="str">
        <f>LEFTB(Sheet1!D16&amp;REPT(" ",$H$2),$H$2)</f>
        <v xml:space="preserve">                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</v>
      </c>
      <c r="E20" s="3" t="s">
        <v>0</v>
      </c>
      <c r="F20" t="str">
        <f>" "&amp;LEFTB(Sheet1!C17&amp;REPT(" ",$F$2),$F$2)</f>
        <v xml:space="preserve">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</v>
      </c>
      <c r="E21" s="3" t="s">
        <v>0</v>
      </c>
      <c r="F21" t="str">
        <f>" "&amp;LEFTB(Sheet1!C18&amp;REPT(" ",$F$2),$F$2)</f>
        <v xml:space="preserve">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</v>
      </c>
      <c r="E22" s="3" t="s">
        <v>0</v>
      </c>
      <c r="F22" t="str">
        <f>" "&amp;LEFTB(Sheet1!C19&amp;REPT(" ",$F$2),$F$2)</f>
        <v xml:space="preserve">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</v>
      </c>
      <c r="E23" s="3" t="s">
        <v>0</v>
      </c>
      <c r="F23" t="str">
        <f>" "&amp;LEFTB(Sheet1!C20&amp;REPT(" ",$F$2),$F$2)</f>
        <v xml:space="preserve">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  <row r="31" spans="1:11">
      <c r="A31" t="s">
        <v>0</v>
      </c>
      <c r="B31">
        <f>Sheet1!A28</f>
        <v>0</v>
      </c>
      <c r="C31" s="3" t="s">
        <v>0</v>
      </c>
      <c r="D31" t="str">
        <f>LEFTB(Sheet1!B28&amp;REPT(" ",$D$2),$D$2)</f>
        <v xml:space="preserve">                     </v>
      </c>
      <c r="E31" s="3" t="s">
        <v>0</v>
      </c>
      <c r="F31" t="str">
        <f>" "&amp;LEFTB(Sheet1!C28&amp;REPT(" ",$F$2),$F$2)</f>
        <v xml:space="preserve">                                                              </v>
      </c>
      <c r="G31" s="3" t="s">
        <v>0</v>
      </c>
      <c r="H31" t="str">
        <f>LEFTB(Sheet1!D28&amp;REPT(" ",$H$2),$H$2)</f>
        <v xml:space="preserve">                                                  </v>
      </c>
      <c r="I31" s="3" t="s">
        <v>0</v>
      </c>
      <c r="J31" s="2" t="str">
        <f>TEXT(Sheet1!E28,"HH:MM")&amp;" "</f>
        <v xml:space="preserve">00:00 </v>
      </c>
      <c r="K31" s="3" t="s">
        <v>0</v>
      </c>
    </row>
    <row r="32" spans="1:11">
      <c r="A32" t="s">
        <v>0</v>
      </c>
      <c r="B32">
        <f>Sheet1!A29</f>
        <v>0</v>
      </c>
      <c r="C32" s="3" t="s">
        <v>0</v>
      </c>
      <c r="D32" t="str">
        <f>LEFTB(Sheet1!B29&amp;REPT(" ",$D$2),$D$2)</f>
        <v xml:space="preserve">                     </v>
      </c>
      <c r="E32" s="3" t="s">
        <v>0</v>
      </c>
      <c r="F32" t="str">
        <f>" "&amp;LEFTB(Sheet1!C29&amp;REPT(" ",$F$2),$F$2)</f>
        <v xml:space="preserve">                                                              </v>
      </c>
      <c r="G32" s="3" t="s">
        <v>0</v>
      </c>
      <c r="H32" t="str">
        <f>LEFTB(Sheet1!D29&amp;REPT(" ",$H$2),$H$2)</f>
        <v xml:space="preserve">                                                  </v>
      </c>
      <c r="I32" s="3" t="s">
        <v>0</v>
      </c>
      <c r="J32" s="2" t="str">
        <f>TEXT(Sheet1!E29,"HH:MM")&amp;" "</f>
        <v xml:space="preserve">00:00 </v>
      </c>
      <c r="K32" s="3" t="s">
        <v>0</v>
      </c>
    </row>
    <row r="33" spans="1:11">
      <c r="A33" t="s">
        <v>0</v>
      </c>
      <c r="B33">
        <f>Sheet1!A30</f>
        <v>0</v>
      </c>
      <c r="C33" s="3" t="s">
        <v>0</v>
      </c>
      <c r="D33" t="str">
        <f>LEFTB(Sheet1!B30&amp;REPT(" ",$D$2),$D$2)</f>
        <v xml:space="preserve">                     </v>
      </c>
      <c r="E33" s="3" t="s">
        <v>0</v>
      </c>
      <c r="F33" t="str">
        <f>" "&amp;LEFTB(Sheet1!C30&amp;REPT(" ",$F$2),$F$2)</f>
        <v xml:space="preserve">                                                              </v>
      </c>
      <c r="G33" s="3" t="s">
        <v>0</v>
      </c>
      <c r="H33" t="str">
        <f>LEFTB(Sheet1!D30&amp;REPT(" ",$H$2),$H$2)</f>
        <v xml:space="preserve">                                                  </v>
      </c>
      <c r="I33" s="3" t="s">
        <v>0</v>
      </c>
      <c r="J33" s="2" t="str">
        <f>TEXT(Sheet1!E30,"HH:MM")&amp;" "</f>
        <v xml:space="preserve">00:00 </v>
      </c>
      <c r="K33" s="3" t="s">
        <v>0</v>
      </c>
    </row>
    <row r="34" spans="1:11">
      <c r="A34" t="s">
        <v>0</v>
      </c>
      <c r="B34">
        <f>Sheet1!A31</f>
        <v>0</v>
      </c>
      <c r="C34" s="3" t="s">
        <v>0</v>
      </c>
      <c r="D34" t="str">
        <f>LEFTB(Sheet1!B31&amp;REPT(" ",$D$2),$D$2)</f>
        <v xml:space="preserve">                     </v>
      </c>
      <c r="E34" s="3" t="s">
        <v>0</v>
      </c>
      <c r="F34" t="str">
        <f>" "&amp;LEFTB(Sheet1!C31&amp;REPT(" ",$F$2),$F$2)</f>
        <v xml:space="preserve">                                                              </v>
      </c>
      <c r="G34" s="3" t="s">
        <v>0</v>
      </c>
      <c r="H34" t="str">
        <f>LEFTB(Sheet1!D31&amp;REPT(" ",$H$2),$H$2)</f>
        <v xml:space="preserve">                                                  </v>
      </c>
      <c r="I34" s="3" t="s">
        <v>0</v>
      </c>
      <c r="J34" s="2" t="str">
        <f>TEXT(Sheet1!E31,"HH:MM")&amp;" "</f>
        <v xml:space="preserve">00:00 </v>
      </c>
      <c r="K34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2A283-62B8-4E38-BA0A-C0053E2ABBEE}">
  <dimension ref="A1:E15"/>
  <sheetViews>
    <sheetView workbookViewId="0">
      <selection sqref="A1:XFD1048576"/>
    </sheetView>
  </sheetViews>
  <sheetFormatPr defaultRowHeight="19.5"/>
  <cols>
    <col min="1" max="1" width="11" bestFit="1" customWidth="1"/>
    <col min="2" max="2" width="22.6640625" bestFit="1" customWidth="1"/>
    <col min="3" max="3" width="58.6640625" bestFit="1" customWidth="1"/>
    <col min="4" max="4" width="47.66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0.20069444444444445</v>
      </c>
    </row>
    <row r="3" spans="1:5">
      <c r="A3">
        <v>2</v>
      </c>
      <c r="B3" s="6" t="s">
        <v>11</v>
      </c>
      <c r="C3" s="6" t="s">
        <v>9</v>
      </c>
      <c r="D3" s="6" t="s">
        <v>10</v>
      </c>
      <c r="E3" s="5">
        <v>0.12430555555555556</v>
      </c>
    </row>
    <row r="4" spans="1:5">
      <c r="A4">
        <v>3</v>
      </c>
      <c r="B4" s="6" t="s">
        <v>12</v>
      </c>
      <c r="C4" s="6" t="s">
        <v>9</v>
      </c>
      <c r="D4" s="6" t="s">
        <v>10</v>
      </c>
      <c r="E4" s="5">
        <v>0.11527777777777778</v>
      </c>
    </row>
    <row r="5" spans="1:5">
      <c r="A5">
        <v>4</v>
      </c>
      <c r="B5" s="6" t="s">
        <v>13</v>
      </c>
      <c r="C5" s="6" t="s">
        <v>14</v>
      </c>
      <c r="D5" s="6" t="s">
        <v>15</v>
      </c>
      <c r="E5" s="5">
        <v>0.15694444444444444</v>
      </c>
    </row>
    <row r="6" spans="1:5">
      <c r="A6">
        <v>5</v>
      </c>
      <c r="B6" s="6" t="s">
        <v>16</v>
      </c>
      <c r="C6" s="6" t="s">
        <v>9</v>
      </c>
      <c r="D6" s="6" t="s">
        <v>10</v>
      </c>
      <c r="E6" s="5">
        <v>0.13055555555555556</v>
      </c>
    </row>
    <row r="7" spans="1:5">
      <c r="A7">
        <v>6</v>
      </c>
      <c r="B7" s="6" t="s">
        <v>17</v>
      </c>
      <c r="C7" s="6" t="s">
        <v>9</v>
      </c>
      <c r="D7" s="6" t="s">
        <v>10</v>
      </c>
      <c r="E7" s="5">
        <v>0.13263888888888889</v>
      </c>
    </row>
    <row r="8" spans="1:5">
      <c r="A8">
        <v>7</v>
      </c>
      <c r="B8" s="6" t="s">
        <v>18</v>
      </c>
      <c r="C8" s="6" t="s">
        <v>19</v>
      </c>
      <c r="D8" s="6" t="s">
        <v>20</v>
      </c>
      <c r="E8" s="5">
        <v>0.16319444444444445</v>
      </c>
    </row>
    <row r="9" spans="1:5">
      <c r="A9">
        <v>8</v>
      </c>
      <c r="B9" s="6" t="s">
        <v>21</v>
      </c>
      <c r="C9" s="6" t="s">
        <v>9</v>
      </c>
      <c r="D9" s="6" t="s">
        <v>10</v>
      </c>
      <c r="E9" s="5">
        <v>0.11944444444444445</v>
      </c>
    </row>
    <row r="10" spans="1:5">
      <c r="A10">
        <v>9</v>
      </c>
      <c r="B10" s="6" t="s">
        <v>22</v>
      </c>
      <c r="C10" s="6" t="s">
        <v>9</v>
      </c>
      <c r="D10" s="6" t="s">
        <v>10</v>
      </c>
      <c r="E10" s="5">
        <v>0.12638888888888888</v>
      </c>
    </row>
    <row r="11" spans="1:5">
      <c r="A11">
        <v>10</v>
      </c>
      <c r="B11" s="6" t="s">
        <v>23</v>
      </c>
      <c r="C11" s="6" t="s">
        <v>9</v>
      </c>
      <c r="D11" s="6" t="s">
        <v>10</v>
      </c>
      <c r="E11" s="5">
        <v>0.1451388888888889</v>
      </c>
    </row>
    <row r="12" spans="1:5">
      <c r="A12">
        <v>11</v>
      </c>
      <c r="B12" s="6" t="s">
        <v>24</v>
      </c>
      <c r="C12" s="6" t="s">
        <v>9</v>
      </c>
      <c r="D12" s="6" t="s">
        <v>10</v>
      </c>
      <c r="E12" s="5">
        <v>0.12291666666666666</v>
      </c>
    </row>
    <row r="13" spans="1:5">
      <c r="A13">
        <v>12</v>
      </c>
      <c r="B13" s="6" t="s">
        <v>25</v>
      </c>
      <c r="C13" s="6" t="s">
        <v>26</v>
      </c>
      <c r="D13" s="6" t="s">
        <v>27</v>
      </c>
      <c r="E13" s="5">
        <v>0.15347222222222223</v>
      </c>
    </row>
    <row r="14" spans="1:5">
      <c r="A14">
        <v>13</v>
      </c>
      <c r="B14" s="6" t="s">
        <v>28</v>
      </c>
      <c r="C14" s="6" t="s">
        <v>9</v>
      </c>
      <c r="D14" s="6" t="s">
        <v>10</v>
      </c>
      <c r="E14" s="5">
        <v>0.12777777777777777</v>
      </c>
    </row>
    <row r="15" spans="1:5">
      <c r="A15">
        <v>14</v>
      </c>
      <c r="B15" s="6" t="s">
        <v>29</v>
      </c>
      <c r="C15" s="6" t="s">
        <v>9</v>
      </c>
      <c r="D15" s="6" t="s">
        <v>10</v>
      </c>
      <c r="E15" s="5">
        <v>0.17083333333333334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5770-8EFB-4435-AF37-0E4A6E2C9DAD}">
  <dimension ref="A1"/>
  <sheetViews>
    <sheetView workbookViewId="0"/>
  </sheetViews>
  <sheetFormatPr defaultRowHeight="19.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テーブル 5 (91)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2026-02-01T12:05:17Z</dcterms:modified>
</cp:coreProperties>
</file>