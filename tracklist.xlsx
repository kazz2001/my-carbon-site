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atsby_v4\"/>
    </mc:Choice>
  </mc:AlternateContent>
  <xr:revisionPtr revIDLastSave="0" documentId="13_ncr:1_{639511A7-ED3A-4BB8-A155-AF4531BD616D}" xr6:coauthVersionLast="47" xr6:coauthVersionMax="47" xr10:uidLastSave="{00000000-0000-0000-0000-000000000000}"/>
  <bookViews>
    <workbookView xWindow="720" yWindow="570" windowWidth="27210" windowHeight="14910" activeTab="1" xr2:uid="{00000000-000D-0000-FFFF-FFFF00000000}"/>
  </bookViews>
  <sheets>
    <sheet name="Sheet1" sheetId="1" r:id="rId1"/>
    <sheet name="Sheet2" sheetId="2" r:id="rId2"/>
    <sheet name="Table 3 (69)" sheetId="34" r:id="rId3"/>
    <sheet name="Table 3 (67)" sheetId="33" r:id="rId4"/>
    <sheet name="Table 3 (65)" sheetId="32" r:id="rId5"/>
    <sheet name="Table 3 (63)" sheetId="31" r:id="rId6"/>
  </sheets>
  <definedNames>
    <definedName name="ExternalData_1" localSheetId="2" hidden="1">'Table 3 (69)'!$A$1:$E$12</definedName>
    <definedName name="ExternalData_2" localSheetId="0" hidden="1">Sheet1!$A$1:$E$12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0" i="2" l="1"/>
  <c r="B30" i="2"/>
  <c r="J29" i="2"/>
  <c r="B29" i="2"/>
  <c r="J28" i="2"/>
  <c r="B28" i="2"/>
  <c r="J27" i="2" l="1"/>
  <c r="B27" i="2"/>
  <c r="J26" i="2"/>
  <c r="B26" i="2"/>
  <c r="J25" i="2"/>
  <c r="B25" i="2"/>
  <c r="J24" i="2"/>
  <c r="B24" i="2"/>
  <c r="J23" i="2"/>
  <c r="B23" i="2"/>
  <c r="J22" i="2"/>
  <c r="B22" i="2"/>
  <c r="J21" i="2"/>
  <c r="B21" i="2"/>
  <c r="J20" i="2"/>
  <c r="B20" i="2"/>
  <c r="J19" i="2"/>
  <c r="B19" i="2"/>
  <c r="J18" i="2"/>
  <c r="B18" i="2"/>
  <c r="J17" i="2"/>
  <c r="B17" i="2"/>
  <c r="J16" i="2"/>
  <c r="B16" i="2"/>
  <c r="J15" i="2"/>
  <c r="B15" i="2"/>
  <c r="J14" i="2"/>
  <c r="B14" i="2"/>
  <c r="J13" i="2"/>
  <c r="B13" i="2"/>
  <c r="J12" i="2"/>
  <c r="B12" i="2"/>
  <c r="J11" i="2"/>
  <c r="B11" i="2"/>
  <c r="J10" i="2"/>
  <c r="B10" i="2"/>
  <c r="J9" i="2"/>
  <c r="B9" i="2"/>
  <c r="J8" i="2"/>
  <c r="B8" i="2"/>
  <c r="J7" i="2"/>
  <c r="B7" i="2"/>
  <c r="J6" i="2"/>
  <c r="B6" i="2"/>
  <c r="J5" i="2"/>
  <c r="B5" i="2"/>
  <c r="J3" i="2"/>
  <c r="B3" i="2"/>
  <c r="J2" i="2"/>
  <c r="H2" i="2" a="1"/>
  <c r="H2" i="2" s="1"/>
  <c r="F2" i="2" a="1"/>
  <c r="F2" i="2" s="1"/>
  <c r="D2" i="2" a="1"/>
  <c r="D2" i="2" s="1"/>
  <c r="H24" i="2" l="1"/>
  <c r="H30" i="2"/>
  <c r="H28" i="2"/>
  <c r="H29" i="2"/>
  <c r="F30" i="2"/>
  <c r="F28" i="2"/>
  <c r="F29" i="2"/>
  <c r="D26" i="2"/>
  <c r="D29" i="2"/>
  <c r="D30" i="2"/>
  <c r="D28" i="2"/>
  <c r="F21" i="2"/>
  <c r="F23" i="2"/>
  <c r="D12" i="2"/>
  <c r="D20" i="2"/>
  <c r="H7" i="2"/>
  <c r="H15" i="2"/>
  <c r="H3" i="2"/>
  <c r="H5" i="2"/>
  <c r="D7" i="2"/>
  <c r="F10" i="2"/>
  <c r="H13" i="2"/>
  <c r="D15" i="2"/>
  <c r="F18" i="2"/>
  <c r="H21" i="2"/>
  <c r="D23" i="2"/>
  <c r="F26" i="2"/>
  <c r="F4" i="2"/>
  <c r="D6" i="2"/>
  <c r="F9" i="2"/>
  <c r="H12" i="2"/>
  <c r="D14" i="2"/>
  <c r="F17" i="2"/>
  <c r="H20" i="2"/>
  <c r="D22" i="2"/>
  <c r="F25" i="2"/>
  <c r="F15" i="2"/>
  <c r="D9" i="2"/>
  <c r="D25" i="2"/>
  <c r="H4" i="2"/>
  <c r="F6" i="2"/>
  <c r="H9" i="2"/>
  <c r="D11" i="2"/>
  <c r="F14" i="2"/>
  <c r="H17" i="2"/>
  <c r="D19" i="2"/>
  <c r="F22" i="2"/>
  <c r="H25" i="2"/>
  <c r="D27" i="2"/>
  <c r="H10" i="2"/>
  <c r="D4" i="2"/>
  <c r="F12" i="2"/>
  <c r="F20" i="2"/>
  <c r="H6" i="2"/>
  <c r="D8" i="2"/>
  <c r="F11" i="2"/>
  <c r="H14" i="2"/>
  <c r="D16" i="2"/>
  <c r="F19" i="2"/>
  <c r="H22" i="2"/>
  <c r="D24" i="2"/>
  <c r="F27" i="2"/>
  <c r="F7" i="2"/>
  <c r="H18" i="2"/>
  <c r="H26" i="2"/>
  <c r="D17" i="2"/>
  <c r="H23" i="2"/>
  <c r="D3" i="2"/>
  <c r="D5" i="2"/>
  <c r="F8" i="2"/>
  <c r="H11" i="2"/>
  <c r="D13" i="2"/>
  <c r="F16" i="2"/>
  <c r="H19" i="2"/>
  <c r="D21" i="2"/>
  <c r="F24" i="2"/>
  <c r="H27" i="2"/>
  <c r="F3" i="2"/>
  <c r="F5" i="2"/>
  <c r="H8" i="2"/>
  <c r="D10" i="2"/>
  <c r="F13" i="2"/>
  <c r="H16" i="2"/>
  <c r="D1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クエリ - Table 3" description="ブック内の 'Table 3' クエリへの接続です。" type="5" refreshedVersion="0" background="1">
    <dbPr connection="Provider=Microsoft.Mashup.OleDb.1;Data Source=$Workbook$;Location=&quot;Table 3&quot;;Extended Properties=&quot;&quot;" command="SELECT * FROM [Table 3]"/>
  </connection>
  <connection id="2" xr16:uid="{00000000-0015-0000-FFFF-FFFF01000000}" keepAlive="1" name="クエリ - Table 3 (10)" description="ブック内の 'Table 3 (10)' クエリへの接続です。" type="5" refreshedVersion="8" background="1" saveData="1">
    <dbPr connection="Provider=Microsoft.Mashup.OleDb.1;Data Source=$Workbook$;Location=&quot;Table 3 (10)&quot;;Extended Properties=&quot;&quot;" command="SELECT * FROM [Table 3 (10)]"/>
  </connection>
  <connection id="3" xr16:uid="{00000000-0015-0000-FFFF-FFFF02000000}" keepAlive="1" name="クエリ - Table 3 (11)" description="ブック内の 'Table 3 (11)' クエリへの接続です。" type="5" refreshedVersion="8" background="1" saveData="1">
    <dbPr connection="Provider=Microsoft.Mashup.OleDb.1;Data Source=$Workbook$;Location=&quot;Table 3 (11)&quot;;Extended Properties=&quot;&quot;" command="SELECT * FROM [Table 3 (11)]"/>
  </connection>
  <connection id="4" xr16:uid="{00000000-0015-0000-FFFF-FFFF03000000}" keepAlive="1" name="クエリ - Table 3 (12)" description="ブック内の 'Table 3 (12)' クエリへの接続です。" type="5" refreshedVersion="8" background="1" saveData="1">
    <dbPr connection="Provider=Microsoft.Mashup.OleDb.1;Data Source=$Workbook$;Location=&quot;Table 3 (12)&quot;;Extended Properties=&quot;&quot;" command="SELECT * FROM [Table 3 (12)]"/>
  </connection>
  <connection id="5" xr16:uid="{00000000-0015-0000-FFFF-FFFF04000000}" keepAlive="1" name="クエリ - Table 3 (13)" description="ブック内の 'Table 3 (13)' クエリへの接続です。" type="5" refreshedVersion="0" background="1">
    <dbPr connection="Provider=Microsoft.Mashup.OleDb.1;Data Source=$Workbook$;Location=&quot;Table 3 (13)&quot;;Extended Properties=&quot;&quot;" command="SELECT * FROM [Table 3 (13)]"/>
  </connection>
  <connection id="6" xr16:uid="{00000000-0015-0000-FFFF-FFFF05000000}" keepAlive="1" name="クエリ - Table 3 (14)" description="ブック内の 'Table 3 (14)' クエリへの接続です。" type="5" refreshedVersion="8" background="1" saveData="1">
    <dbPr connection="Provider=Microsoft.Mashup.OleDb.1;Data Source=$Workbook$;Location=&quot;Table 3 (14)&quot;;Extended Properties=&quot;&quot;" command="SELECT * FROM [Table 3 (14)]"/>
  </connection>
  <connection id="7" xr16:uid="{BBDDB330-635A-4FD3-9B97-EA23FECC0AE6}" keepAlive="1" name="クエリ - Table 3 (17)" description="ブック内の 'Table 3 (17)' クエリへの接続です。" type="5" refreshedVersion="0" background="1">
    <dbPr connection="Provider=Microsoft.Mashup.OleDb.1;Data Source=$Workbook$;Location=&quot;Table 3 (17)&quot;;Extended Properties=&quot;&quot;" command="SELECT * FROM [Table 3 (17)]"/>
  </connection>
  <connection id="8" xr16:uid="{59629BA3-7031-4BD0-A30D-0546CC37554E}" keepAlive="1" name="クエリ - Table 3 (18)" description="ブック内の 'Table 3 (18)' クエリへの接続です。" type="5" refreshedVersion="8" background="1" saveData="1">
    <dbPr connection="Provider=Microsoft.Mashup.OleDb.1;Data Source=$Workbook$;Location=&quot;Table 3 (18)&quot;;Extended Properties=&quot;&quot;" command="SELECT * FROM [Table 3 (18)]"/>
  </connection>
  <connection id="9" xr16:uid="{08FA7F66-84D1-41B1-AD8A-A60A8C34F498}" keepAlive="1" name="クエリ - Table 3 (19)" description="ブック内の 'Table 3 (19)' クエリへの接続です。" type="5" refreshedVersion="8" background="1" saveData="1">
    <dbPr connection="Provider=Microsoft.Mashup.OleDb.1;Data Source=$Workbook$;Location=&quot;Table 3 (19)&quot;;Extended Properties=&quot;&quot;" command="SELECT * FROM [Table 3 (19)]"/>
  </connection>
  <connection id="10" xr16:uid="{00000000-0015-0000-FFFF-FFFF06000000}" keepAlive="1" name="クエリ - Table 3 (2)" description="ブック内の 'Table 3 (2)' クエリへの接続です。" type="5" refreshedVersion="0" background="1">
    <dbPr connection="Provider=Microsoft.Mashup.OleDb.1;Data Source=$Workbook$;Location=&quot;Table 3 (2)&quot;;Extended Properties=&quot;&quot;" command="SELECT * FROM [Table 3 (2)]"/>
  </connection>
  <connection id="11" xr16:uid="{1BB2406A-A215-49AD-BDCF-AB1CC1940533}" keepAlive="1" name="クエリ - Table 3 (20)" description="ブック内の 'Table 3 (20)' クエリへの接続です。" type="5" refreshedVersion="8" background="1" saveData="1">
    <dbPr connection="Provider=Microsoft.Mashup.OleDb.1;Data Source=$Workbook$;Location=&quot;Table 3 (20)&quot;;Extended Properties=&quot;&quot;" command="SELECT * FROM [Table 3 (20)]"/>
  </connection>
  <connection id="12" xr16:uid="{A923C67F-66FA-47A7-8769-2C8E672AADC2}" keepAlive="1" name="クエリ - Table 3 (21)" description="ブック内の 'Table 3 (21)' クエリへの接続です。" type="5" refreshedVersion="0" background="1">
    <dbPr connection="Provider=Microsoft.Mashup.OleDb.1;Data Source=$Workbook$;Location=&quot;Table 3 (21)&quot;;Extended Properties=&quot;&quot;" command="SELECT * FROM [Table 3 (21)]"/>
  </connection>
  <connection id="13" xr16:uid="{5C4F1F22-6BC5-4EEF-A525-55F0A2EAA8AB}" keepAlive="1" name="クエリ - Table 3 (22)" description="ブック内の 'Table 3 (22)' クエリへの接続です。" type="5" refreshedVersion="8" background="1" saveData="1">
    <dbPr connection="Provider=Microsoft.Mashup.OleDb.1;Data Source=$Workbook$;Location=&quot;Table 3 (22)&quot;;Extended Properties=&quot;&quot;" command="SELECT * FROM [Table 3 (22)]"/>
  </connection>
  <connection id="14" xr16:uid="{E157A86B-7235-439A-ACCA-6870352BCCE2}" keepAlive="1" name="クエリ - Table 3 (23)" description="ブック内の 'Table 3 (23)' クエリへの接続です。" type="5" refreshedVersion="8" background="1" saveData="1">
    <dbPr connection="Provider=Microsoft.Mashup.OleDb.1;Data Source=$Workbook$;Location=&quot;Table 3 (23)&quot;;Extended Properties=&quot;&quot;" command="SELECT * FROM [Table 3 (23)]"/>
  </connection>
  <connection id="15" xr16:uid="{BCB139AD-686B-4CA1-BED5-5EF4474290DB}" keepAlive="1" name="クエリ - Table 3 (24)" description="ブック内の 'Table 3 (24)' クエリへの接続です。" type="5" refreshedVersion="8" background="1" saveData="1">
    <dbPr connection="Provider=Microsoft.Mashup.OleDb.1;Data Source=$Workbook$;Location=&quot;Table 3 (24)&quot;;Extended Properties=&quot;&quot;" command="SELECT * FROM [Table 3 (24)]"/>
  </connection>
  <connection id="16" xr16:uid="{B390C490-7684-4991-B334-3962976A3C16}" keepAlive="1" name="クエリ - Table 3 (25)" description="ブック内の 'Table 3 (25)' クエリへの接続です。" type="5" refreshedVersion="0" background="1">
    <dbPr connection="Provider=Microsoft.Mashup.OleDb.1;Data Source=$Workbook$;Location=&quot;Table 3 (25)&quot;;Extended Properties=&quot;&quot;" command="SELECT * FROM [Table 3 (25)]"/>
  </connection>
  <connection id="17" xr16:uid="{96404DEB-DCAD-4EF3-9CB5-CDF10EE8EA43}" keepAlive="1" name="クエリ - Table 3 (26)" description="ブック内の 'Table 3 (26)' クエリへの接続です。" type="5" refreshedVersion="8" background="1" saveData="1">
    <dbPr connection="Provider=Microsoft.Mashup.OleDb.1;Data Source=$Workbook$;Location=&quot;Table 3 (26)&quot;;Extended Properties=&quot;&quot;" command="SELECT * FROM [Table 3 (26)]"/>
  </connection>
  <connection id="18" xr16:uid="{D91FCA50-814B-4209-9685-ADAE4EE9A52E}" keepAlive="1" name="クエリ - Table 3 (27)" description="ブック内の 'Table 3 (27)' クエリへの接続です。" type="5" refreshedVersion="0" background="1">
    <dbPr connection="Provider=Microsoft.Mashup.OleDb.1;Data Source=$Workbook$;Location=&quot;Table 3 (27)&quot;;Extended Properties=&quot;&quot;" command="SELECT * FROM [Table 3 (27)]"/>
  </connection>
  <connection id="19" xr16:uid="{087A6F5E-2E87-4E34-AC3A-2C6157520DAA}" keepAlive="1" name="クエリ - Table 3 (28)" description="ブック内の 'Table 3 (28)' クエリへの接続です。" type="5" refreshedVersion="8" background="1" saveData="1">
    <dbPr connection="Provider=Microsoft.Mashup.OleDb.1;Data Source=$Workbook$;Location=&quot;Table 3 (28)&quot;;Extended Properties=&quot;&quot;" command="SELECT * FROM [Table 3 (28)]"/>
  </connection>
  <connection id="20" xr16:uid="{5ABE8F91-5CB3-468F-9F21-A64594C0D26F}" keepAlive="1" name="クエリ - Table 3 (29)" description="ブック内の 'Table 3 (29)' クエリへの接続です。" type="5" refreshedVersion="8" background="1" saveData="1">
    <dbPr connection="Provider=Microsoft.Mashup.OleDb.1;Data Source=$Workbook$;Location=&quot;Table 3 (29)&quot;;Extended Properties=&quot;&quot;" command="SELECT * FROM [Table 3 (29)]"/>
  </connection>
  <connection id="21" xr16:uid="{00000000-0015-0000-FFFF-FFFF07000000}" keepAlive="1" name="クエリ - Table 3 (3)" description="ブック内の 'Table 3 (3)' クエリへの接続です。" type="5" refreshedVersion="8" background="1" saveData="1">
    <dbPr connection="Provider=Microsoft.Mashup.OleDb.1;Data Source=$Workbook$;Location=&quot;Table 3 (3)&quot;;Extended Properties=&quot;&quot;" command="SELECT * FROM [Table 3 (3)]"/>
  </connection>
  <connection id="22" xr16:uid="{30219059-5A6A-48D3-B83D-9E080CDF23F5}" keepAlive="1" name="クエリ - Table 3 (30)" description="ブック内の 'Table 3 (30)' クエリへの接続です。" type="5" refreshedVersion="8" background="1" saveData="1">
    <dbPr connection="Provider=Microsoft.Mashup.OleDb.1;Data Source=$Workbook$;Location=&quot;Table 3 (30)&quot;;Extended Properties=&quot;&quot;" command="SELECT * FROM [Table 3 (30)]"/>
  </connection>
  <connection id="23" xr16:uid="{BEEC4493-24B8-45BD-BA72-A99614481F9D}" keepAlive="1" name="クエリ - Table 3 (31)" description="ブック内の 'Table 3 (31)' クエリへの接続です。" type="5" refreshedVersion="0" background="1">
    <dbPr connection="Provider=Microsoft.Mashup.OleDb.1;Data Source=$Workbook$;Location=&quot;Table 3 (31)&quot;;Extended Properties=&quot;&quot;" command="SELECT * FROM [Table 3 (31)]"/>
  </connection>
  <connection id="24" xr16:uid="{F96985D1-BCC0-4393-809C-6ACB6E0D2913}" keepAlive="1" name="クエリ - Table 3 (32)" description="ブック内の 'Table 3 (32)' クエリへの接続です。" type="5" refreshedVersion="8" background="1" saveData="1">
    <dbPr connection="Provider=Microsoft.Mashup.OleDb.1;Data Source=$Workbook$;Location=&quot;Table 3 (32)&quot;;Extended Properties=&quot;&quot;" command="SELECT * FROM [Table 3 (32)]"/>
  </connection>
  <connection id="25" xr16:uid="{5F823967-9E8D-4A03-9DA1-1A207095B3ED}" keepAlive="1" name="クエリ - Table 3 (33)" description="ブック内の 'Table 3 (33)' クエリへの接続です。" type="5" refreshedVersion="8" background="1" saveData="1">
    <dbPr connection="Provider=Microsoft.Mashup.OleDb.1;Data Source=$Workbook$;Location=&quot;Table 3 (33)&quot;;Extended Properties=&quot;&quot;" command="SELECT * FROM [Table 3 (33)]"/>
  </connection>
  <connection id="26" xr16:uid="{5993CCC8-FDFD-4119-B7F4-609C7EF0845B}" keepAlive="1" name="クエリ - Table 3 (34)" description="ブック内の 'Table 3 (34)' クエリへの接続です。" type="5" refreshedVersion="8" background="1" saveData="1">
    <dbPr connection="Provider=Microsoft.Mashup.OleDb.1;Data Source=$Workbook$;Location=&quot;Table 3 (34)&quot;;Extended Properties=&quot;&quot;" command="SELECT * FROM [Table 3 (34)]"/>
  </connection>
  <connection id="27" xr16:uid="{0D4A6A05-6E5B-4965-8A95-0C2485E0B07A}" keepAlive="1" name="クエリ - Table 3 (35)" description="ブック内の 'Table 3 (35)' クエリへの接続です。" type="5" refreshedVersion="8" background="1" saveData="1">
    <dbPr connection="Provider=Microsoft.Mashup.OleDb.1;Data Source=$Workbook$;Location=&quot;Table 3 (35)&quot;;Extended Properties=&quot;&quot;" command="SELECT * FROM [Table 3 (35)]"/>
  </connection>
  <connection id="28" xr16:uid="{A7B07713-00C4-4892-A796-A8938D2A4F65}" keepAlive="1" name="クエリ - Table 3 (36)" description="ブック内の 'Table 3 (36)' クエリへの接続です。" type="5" refreshedVersion="8" background="1" saveData="1">
    <dbPr connection="Provider=Microsoft.Mashup.OleDb.1;Data Source=$Workbook$;Location=&quot;Table 3 (36)&quot;;Extended Properties=&quot;&quot;" command="SELECT * FROM [Table 3 (36)]"/>
  </connection>
  <connection id="29" xr16:uid="{C3B7EA04-0FA9-4840-9156-A7C81F662A74}" keepAlive="1" name="クエリ - Table 3 (37)" description="ブック内の 'Table 3 (37)' クエリへの接続です。" type="5" refreshedVersion="8" background="1" saveData="1">
    <dbPr connection="Provider=Microsoft.Mashup.OleDb.1;Data Source=$Workbook$;Location=&quot;Table 3 (37)&quot;;Extended Properties=&quot;&quot;" command="SELECT * FROM [Table 3 (37)]"/>
  </connection>
  <connection id="30" xr16:uid="{3D7F0046-D826-4677-B8E6-2DD830DB01D7}" keepAlive="1" name="クエリ - Table 3 (38)" description="ブック内の 'Table 3 (38)' クエリへの接続です。" type="5" refreshedVersion="8" background="1" saveData="1">
    <dbPr connection="Provider=Microsoft.Mashup.OleDb.1;Data Source=$Workbook$;Location=&quot;Table 3 (38)&quot;;Extended Properties=&quot;&quot;" command="SELECT * FROM [Table 3 (38)]"/>
  </connection>
  <connection id="31" xr16:uid="{D95B5317-AB5F-4BB7-BFEC-8E4CC14D01E4}" keepAlive="1" name="クエリ - Table 3 (39)" description="ブック内の 'Table 3 (39)' クエリへの接続です。" type="5" refreshedVersion="0" background="1">
    <dbPr connection="Provider=Microsoft.Mashup.OleDb.1;Data Source=$Workbook$;Location=&quot;Table 3 (39)&quot;;Extended Properties=&quot;&quot;" command="SELECT * FROM [Table 3 (39)]"/>
  </connection>
  <connection id="32" xr16:uid="{00000000-0015-0000-FFFF-FFFF08000000}" keepAlive="1" name="クエリ - Table 3 (4)" description="ブック内の 'Table 3 (4)' クエリへの接続です。" type="5" refreshedVersion="8" background="1" saveData="1">
    <dbPr connection="Provider=Microsoft.Mashup.OleDb.1;Data Source=$Workbook$;Location=&quot;Table 3 (4)&quot;;Extended Properties=&quot;&quot;" command="SELECT * FROM [Table 3 (4)]"/>
  </connection>
  <connection id="33" xr16:uid="{3E8A2834-A264-4926-9CC7-F3D329839317}" keepAlive="1" name="クエリ - Table 3 (40)" description="ブック内の 'Table 3 (40)' クエリへの接続です。" type="5" refreshedVersion="8" background="1" saveData="1">
    <dbPr connection="Provider=Microsoft.Mashup.OleDb.1;Data Source=$Workbook$;Location=&quot;Table 3 (40)&quot;;Extended Properties=&quot;&quot;" command="SELECT * FROM [Table 3 (40)]"/>
  </connection>
  <connection id="34" xr16:uid="{0C3944EF-E0CC-4A8C-84AA-0B82D6653D85}" keepAlive="1" name="クエリ - Table 3 (41)" description="ブック内の 'Table 3 (41)' クエリへの接続です。" type="5" refreshedVersion="8" background="1" saveData="1">
    <dbPr connection="Provider=Microsoft.Mashup.OleDb.1;Data Source=$Workbook$;Location=&quot;Table 3 (41)&quot;;Extended Properties=&quot;&quot;" command="SELECT * FROM [Table 3 (41)]"/>
  </connection>
  <connection id="35" xr16:uid="{1714E083-43AA-4694-B263-134E90E36B66}" keepAlive="1" name="クエリ - Table 3 (42)" description="ブック内の 'Table 3 (42)' クエリへの接続です。" type="5" refreshedVersion="8" background="1" saveData="1">
    <dbPr connection="Provider=Microsoft.Mashup.OleDb.1;Data Source=$Workbook$;Location=&quot;Table 3 (42)&quot;;Extended Properties=&quot;&quot;" command="SELECT * FROM [Table 3 (42)]"/>
  </connection>
  <connection id="36" xr16:uid="{D71BE0F1-CAB7-4A33-907C-8F8851146D48}" keepAlive="1" name="クエリ - Table 3 (43)" description="ブック内の 'Table 3 (43)' クエリへの接続です。" type="5" refreshedVersion="0" background="1">
    <dbPr connection="Provider=Microsoft.Mashup.OleDb.1;Data Source=$Workbook$;Location=&quot;Table 3 (43)&quot;;Extended Properties=&quot;&quot;" command="SELECT * FROM [Table 3 (43)]"/>
  </connection>
  <connection id="37" xr16:uid="{044A3C8E-03A8-4B2C-86FF-586DDE5D3C13}" keepAlive="1" name="クエリ - Table 3 (44)" description="ブック内の 'Table 3 (44)' クエリへの接続です。" type="5" refreshedVersion="8" background="1" saveData="1">
    <dbPr connection="Provider=Microsoft.Mashup.OleDb.1;Data Source=$Workbook$;Location=&quot;Table 3 (44)&quot;;Extended Properties=&quot;&quot;" command="SELECT * FROM [Table 3 (44)]"/>
  </connection>
  <connection id="38" xr16:uid="{9441CB51-2FCB-4D67-B7BB-ACB4516A2F42}" keepAlive="1" name="クエリ - Table 3 (45)" description="ブック内の 'Table 3 (45)' クエリへの接続です。" type="5" refreshedVersion="8" background="1" saveData="1">
    <dbPr connection="Provider=Microsoft.Mashup.OleDb.1;Data Source=$Workbook$;Location=&quot;Table 3 (45)&quot;;Extended Properties=&quot;&quot;" command="SELECT * FROM [Table 3 (45)]"/>
  </connection>
  <connection id="39" xr16:uid="{1CDB8E65-1689-402A-B03C-C1609D040FA1}" keepAlive="1" name="クエリ - Table 3 (46)" description="ブック内の 'Table 3 (46)' クエリへの接続です。" type="5" refreshedVersion="8" background="1" saveData="1">
    <dbPr connection="Provider=Microsoft.Mashup.OleDb.1;Data Source=$Workbook$;Location=&quot;Table 3 (46)&quot;;Extended Properties=&quot;&quot;" command="SELECT * FROM [Table 3 (46)]"/>
  </connection>
  <connection id="40" xr16:uid="{EBC09895-E0C2-4FEB-837A-191072F1BFE8}" keepAlive="1" name="クエリ - Table 3 (47)" description="ブック内の 'Table 3 (47)' クエリへの接続です。" type="5" refreshedVersion="0" background="1">
    <dbPr connection="Provider=Microsoft.Mashup.OleDb.1;Data Source=$Workbook$;Location=&quot;Table 3 (47)&quot;;Extended Properties=&quot;&quot;" command="SELECT * FROM [Table 3 (47)]"/>
  </connection>
  <connection id="41" xr16:uid="{6C6798D4-B054-4576-9333-829ED85B7AE1}" keepAlive="1" name="クエリ - Table 3 (48)" description="ブック内の 'Table 3 (48)' クエリへの接続です。" type="5" refreshedVersion="8" background="1" saveData="1">
    <dbPr connection="Provider=Microsoft.Mashup.OleDb.1;Data Source=$Workbook$;Location=&quot;Table 3 (48)&quot;;Extended Properties=&quot;&quot;" command="SELECT * FROM [Table 3 (48)]"/>
  </connection>
  <connection id="42" xr16:uid="{ED3463E4-9D92-46BD-BE53-E246E580EFFB}" keepAlive="1" name="クエリ - Table 3 (49)" description="ブック内の 'Table 3 (49)' クエリへの接続です。" type="5" refreshedVersion="8" background="1" saveData="1">
    <dbPr connection="Provider=Microsoft.Mashup.OleDb.1;Data Source=$Workbook$;Location=&quot;Table 3 (49)&quot;;Extended Properties=&quot;&quot;" command="SELECT * FROM [Table 3 (49)]"/>
  </connection>
  <connection id="43" xr16:uid="{00000000-0015-0000-FFFF-FFFF09000000}" keepAlive="1" name="クエリ - Table 3 (5)" description="ブック内の 'Table 3 (5)' クエリへの接続です。" type="5" refreshedVersion="8" background="1" saveData="1">
    <dbPr connection="Provider=Microsoft.Mashup.OleDb.1;Data Source=$Workbook$;Location=&quot;Table 3 (5)&quot;;Extended Properties=&quot;&quot;" command="SELECT * FROM [Table 3 (5)]"/>
  </connection>
  <connection id="44" xr16:uid="{2DE8387B-4D55-4A60-931A-2428019F495E}" keepAlive="1" name="クエリ - Table 3 (50)" description="ブック内の 'Table 3 (50)' クエリへの接続です。" type="5" refreshedVersion="8" background="1" saveData="1">
    <dbPr connection="Provider=Microsoft.Mashup.OleDb.1;Data Source=$Workbook$;Location=&quot;Table 3 (50)&quot;;Extended Properties=&quot;&quot;" command="SELECT * FROM [Table 3 (50)]"/>
  </connection>
  <connection id="45" xr16:uid="{7F7B5444-DE18-4398-B0CA-217250B9FCF4}" keepAlive="1" name="クエリ - Table 3 (51)" description="ブック内の 'Table 3 (51)' クエリへの接続です。" type="5" refreshedVersion="0" background="1">
    <dbPr connection="Provider=Microsoft.Mashup.OleDb.1;Data Source=$Workbook$;Location=&quot;Table 3 (51)&quot;;Extended Properties=&quot;&quot;" command="SELECT * FROM [Table 3 (51)]"/>
  </connection>
  <connection id="46" xr16:uid="{F9CEF165-5BD4-4BA9-A76D-DD931EE26B40}" keepAlive="1" name="クエリ - Table 3 (52)" description="ブック内の 'Table 3 (52)' クエリへの接続です。" type="5" refreshedVersion="8" background="1" saveData="1">
    <dbPr connection="Provider=Microsoft.Mashup.OleDb.1;Data Source=$Workbook$;Location=&quot;Table 3 (52)&quot;;Extended Properties=&quot;&quot;" command="SELECT * FROM [Table 3 (52)]"/>
  </connection>
  <connection id="47" xr16:uid="{63A81AD9-0308-409F-A920-7FF919C71A6B}" keepAlive="1" name="クエリ - Table 3 (53)" description="ブック内の 'Table 3 (53)' クエリへの接続です。" type="5" refreshedVersion="8" background="1" saveData="1">
    <dbPr connection="Provider=Microsoft.Mashup.OleDb.1;Data Source=$Workbook$;Location=&quot;Table 3 (53)&quot;;Extended Properties=&quot;&quot;" command="SELECT * FROM [Table 3 (53)]"/>
  </connection>
  <connection id="48" xr16:uid="{A53EFC76-213A-4881-BDBC-9CBA0B986614}" keepAlive="1" name="クエリ - Table 3 (54)" description="ブック内の 'Table 3 (54)' クエリへの接続です。" type="5" refreshedVersion="8" background="1" saveData="1">
    <dbPr connection="Provider=Microsoft.Mashup.OleDb.1;Data Source=$Workbook$;Location=&quot;Table 3 (54)&quot;;Extended Properties=&quot;&quot;" command="SELECT * FROM [Table 3 (54)]"/>
  </connection>
  <connection id="49" xr16:uid="{D3CF9B5C-9D7D-4794-BEC1-6743F9CB0611}" keepAlive="1" name="クエリ - Table 3 (55)" description="ブック内の 'Table 3 (55)' クエリへの接続です。" type="5" refreshedVersion="0" background="1">
    <dbPr connection="Provider=Microsoft.Mashup.OleDb.1;Data Source=$Workbook$;Location=&quot;Table 3 (55)&quot;;Extended Properties=&quot;&quot;" command="SELECT * FROM [Table 3 (55)]"/>
  </connection>
  <connection id="50" xr16:uid="{A1540960-9E11-4465-BB2F-7A13C34D06C9}" keepAlive="1" name="クエリ - Table 3 (56)" description="ブック内の 'Table 3 (56)' クエリへの接続です。" type="5" refreshedVersion="8" background="1" saveData="1">
    <dbPr connection="Provider=Microsoft.Mashup.OleDb.1;Data Source=$Workbook$;Location=&quot;Table 3 (56)&quot;;Extended Properties=&quot;&quot;" command="SELECT * FROM [Table 3 (56)]"/>
  </connection>
  <connection id="51" xr16:uid="{CEF73C73-578B-4672-B688-03089AFFF831}" keepAlive="1" name="クエリ - Table 3 (57)" description="ブック内の 'Table 3 (57)' クエリへの接続です。" type="5" refreshedVersion="8" background="1" saveData="1">
    <dbPr connection="Provider=Microsoft.Mashup.OleDb.1;Data Source=$Workbook$;Location=&quot;Table 3 (57)&quot;;Extended Properties=&quot;&quot;" command="SELECT * FROM [Table 3 (57)]"/>
  </connection>
  <connection id="52" xr16:uid="{F8353580-F12A-49C9-A1B0-E2DC70758AA5}" keepAlive="1" name="クエリ - Table 3 (58)" description="ブック内の 'Table 3 (58)' クエリへの接続です。" type="5" refreshedVersion="8" background="1" saveData="1">
    <dbPr connection="Provider=Microsoft.Mashup.OleDb.1;Data Source=$Workbook$;Location=&quot;Table 3 (58)&quot;;Extended Properties=&quot;&quot;" command="SELECT * FROM [Table 3 (58)]"/>
  </connection>
  <connection id="53" xr16:uid="{6F2A582B-139A-408D-8A3F-AF9218616E11}" keepAlive="1" name="クエリ - Table 3 (59)" description="ブック内の 'Table 3 (59)' クエリへの接続です。" type="5" refreshedVersion="0" background="1">
    <dbPr connection="Provider=Microsoft.Mashup.OleDb.1;Data Source=$Workbook$;Location=&quot;Table 3 (59)&quot;;Extended Properties=&quot;&quot;" command="SELECT * FROM [Table 3 (59)]"/>
  </connection>
  <connection id="54" xr16:uid="{00000000-0015-0000-FFFF-FFFF0A000000}" keepAlive="1" name="クエリ - Table 3 (6)" description="ブック内の 'Table 3 (6)' クエリへの接続です。" type="5" refreshedVersion="8" background="1" saveData="1">
    <dbPr connection="Provider=Microsoft.Mashup.OleDb.1;Data Source=$Workbook$;Location=&quot;Table 3 (6)&quot;;Extended Properties=&quot;&quot;" command="SELECT * FROM [Table 3 (6)]"/>
  </connection>
  <connection id="55" xr16:uid="{6D322BA9-22CA-4EDE-9A6E-5578919B3227}" keepAlive="1" name="クエリ - Table 3 (60)" description="ブック内の 'Table 3 (60)' クエリへの接続です。" type="5" refreshedVersion="8" background="1" saveData="1">
    <dbPr connection="Provider=Microsoft.Mashup.OleDb.1;Data Source=$Workbook$;Location=&quot;Table 3 (60)&quot;;Extended Properties=&quot;&quot;" command="SELECT * FROM [Table 3 (60)]"/>
  </connection>
  <connection id="56" xr16:uid="{92A15584-4775-4A0F-805C-71FAC8A438A8}" keepAlive="1" name="クエリ - Table 3 (61)" description="ブック内の 'Table 3 (61)' クエリへの接続です。" type="5" refreshedVersion="8" background="1" saveData="1">
    <dbPr connection="Provider=Microsoft.Mashup.OleDb.1;Data Source=$Workbook$;Location=&quot;Table 3 (61)&quot;;Extended Properties=&quot;&quot;" command="SELECT * FROM [Table 3 (61)]"/>
  </connection>
  <connection id="57" xr16:uid="{094B29CD-E7A5-4E46-B477-8DCBF892703D}" keepAlive="1" name="クエリ - Table 3 (62)" description="ブック内の 'Table 3 (62)' クエリへの接続です。" type="5" refreshedVersion="8" background="1" saveData="1">
    <dbPr connection="Provider=Microsoft.Mashup.OleDb.1;Data Source=$Workbook$;Location=&quot;Table 3 (62)&quot;;Extended Properties=&quot;&quot;" command="SELECT * FROM [Table 3 (62)]"/>
  </connection>
  <connection id="58" xr16:uid="{FF7ADC95-B0EE-4B27-A1AA-F5EE285A2A78}" keepAlive="1" name="クエリ - Table 3 (63)" description="ブック内の 'Table 3 (63)' クエリへの接続です。" type="5" refreshedVersion="0" background="1">
    <dbPr connection="Provider=Microsoft.Mashup.OleDb.1;Data Source=$Workbook$;Location=&quot;Table 3 (63)&quot;;Extended Properties=&quot;&quot;" command="SELECT * FROM [Table 3 (63)]"/>
  </connection>
  <connection id="59" xr16:uid="{9E3C50A5-DF4A-4989-9A02-D97A840BC531}" keepAlive="1" name="クエリ - Table 3 (64)" description="ブック内の 'Table 3 (64)' クエリへの接続です。" type="5" refreshedVersion="8" background="1" saveData="1">
    <dbPr connection="Provider=Microsoft.Mashup.OleDb.1;Data Source=$Workbook$;Location=&quot;Table 3 (64)&quot;;Extended Properties=&quot;&quot;" command="SELECT * FROM [Table 3 (64)]"/>
  </connection>
  <connection id="60" xr16:uid="{46E3448E-73B0-4D62-B62D-2E55B157E580}" keepAlive="1" name="クエリ - Table 3 (65)" description="ブック内の 'Table 3 (65)' クエリへの接続です。" type="5" refreshedVersion="8" background="1" saveData="1">
    <dbPr connection="Provider=Microsoft.Mashup.OleDb.1;Data Source=$Workbook$;Location=&quot;Table 3 (65)&quot;;Extended Properties=&quot;&quot;" command="SELECT * FROM [Table 3 (65)]"/>
  </connection>
  <connection id="61" xr16:uid="{54F3CD74-7489-4FB7-8D70-565154485148}" keepAlive="1" name="クエリ - Table 3 (66)" description="ブック内の 'Table 3 (66)' クエリへの接続です。" type="5" refreshedVersion="8" background="1" saveData="1">
    <dbPr connection="Provider=Microsoft.Mashup.OleDb.1;Data Source=$Workbook$;Location=&quot;Table 3 (66)&quot;;Extended Properties=&quot;&quot;" command="SELECT * FROM [Table 3 (66)]"/>
  </connection>
  <connection id="62" xr16:uid="{AADF24EB-F9B8-4687-B471-60BB18F0F795}" keepAlive="1" name="クエリ - Table 3 (67)" description="ブック内の 'Table 3 (67)' クエリへの接続です。" type="5" refreshedVersion="0" background="1">
    <dbPr connection="Provider=Microsoft.Mashup.OleDb.1;Data Source=$Workbook$;Location=&quot;Table 3 (67)&quot;;Extended Properties=&quot;&quot;" command="SELECT * FROM [Table 3 (67)]"/>
  </connection>
  <connection id="63" xr16:uid="{7B264E4C-3731-4571-9220-7CFF494EF746}" keepAlive="1" name="クエリ - Table 3 (68)" description="ブック内の 'Table 3 (68)' クエリへの接続です。" type="5" refreshedVersion="8" background="1" saveData="1">
    <dbPr connection="Provider=Microsoft.Mashup.OleDb.1;Data Source=$Workbook$;Location=&quot;Table 3 (68)&quot;;Extended Properties=&quot;&quot;" command="SELECT * FROM [Table 3 (68)]"/>
  </connection>
  <connection id="64" xr16:uid="{7DB00DCD-0E5C-4F71-823F-0F0265165258}" keepAlive="1" name="クエリ - Table 3 (69)" description="ブック内の 'Table 3 (69)' クエリへの接続です。" type="5" refreshedVersion="8" background="1" saveData="1">
    <dbPr connection="Provider=Microsoft.Mashup.OleDb.1;Data Source=$Workbook$;Location=&quot;Table 3 (69)&quot;;Extended Properties=&quot;&quot;" command="SELECT * FROM [Table 3 (69)]"/>
  </connection>
  <connection id="65" xr16:uid="{00000000-0015-0000-FFFF-FFFF0B000000}" keepAlive="1" name="クエリ - Table 3 (7)" description="ブック内の 'Table 3 (7)' クエリへの接続です。" type="5" refreshedVersion="8" background="1" saveData="1">
    <dbPr connection="Provider=Microsoft.Mashup.OleDb.1;Data Source=$Workbook$;Location=&quot;Table 3 (7)&quot;;Extended Properties=&quot;&quot;" command="SELECT * FROM [Table 3 (7)]"/>
  </connection>
  <connection id="66" xr16:uid="{02665DCA-91FA-49E0-812F-867079DA84F1}" keepAlive="1" name="クエリ - Table 3 (70)" description="ブック内の 'Table 3 (70)' クエリへの接続です。" type="5" refreshedVersion="8" background="1" saveData="1">
    <dbPr connection="Provider=Microsoft.Mashup.OleDb.1;Data Source=$Workbook$;Location=&quot;Table 3 (70)&quot;;Extended Properties=&quot;&quot;" command="SELECT * FROM [Table 3 (70)]"/>
  </connection>
  <connection id="67" xr16:uid="{00000000-0015-0000-FFFF-FFFF0C000000}" keepAlive="1" name="クエリ - Table 3 (8)" description="ブック内の 'Table 3 (8)' クエリへの接続です。" type="5" refreshedVersion="8" background="1" saveData="1">
    <dbPr connection="Provider=Microsoft.Mashup.OleDb.1;Data Source=$Workbook$;Location=&quot;Table 3 (8)&quot;;Extended Properties=&quot;&quot;" command="SELECT * FROM [Table 3 (8)]"/>
  </connection>
  <connection id="68" xr16:uid="{00000000-0015-0000-FFFF-FFFF0D000000}" keepAlive="1" name="クエリ - Table 3 (9)" description="ブック内の 'Table 3 (9)' クエリへの接続です。" type="5" refreshedVersion="0" background="1">
    <dbPr connection="Provider=Microsoft.Mashup.OleDb.1;Data Source=$Workbook$;Location=&quot;Table 3 (9)&quot;;Extended Properties=&quot;&quot;" command="SELECT * FROM [Table 3 (9)]"/>
  </connection>
</connections>
</file>

<file path=xl/sharedStrings.xml><?xml version="1.0" encoding="utf-8"?>
<sst xmlns="http://schemas.openxmlformats.org/spreadsheetml/2006/main" count="246" uniqueCount="34">
  <si>
    <t>|</t>
    <phoneticPr fontId="1"/>
  </si>
  <si>
    <t xml:space="preserve"> --- </t>
    <phoneticPr fontId="1"/>
  </si>
  <si>
    <t xml:space="preserve"> ----- </t>
    <phoneticPr fontId="1"/>
  </si>
  <si>
    <t>Composer</t>
  </si>
  <si>
    <t>Title</t>
  </si>
  <si>
    <t>Time</t>
  </si>
  <si>
    <t>Performer</t>
  </si>
  <si>
    <t>Column1</t>
  </si>
  <si>
    <t>I'm the Shit</t>
  </si>
  <si>
    <t>Sexyy Red, Mac Fly</t>
  </si>
  <si>
    <t>Sexyy Red</t>
  </si>
  <si>
    <t>SkeeYee</t>
  </si>
  <si>
    <t>Sexyy Red, Tay Keith, DJ Meech, BanBwoi</t>
  </si>
  <si>
    <t>HellCats SRTs</t>
  </si>
  <si>
    <t>Sexyy Red, Shawn Ferrari</t>
  </si>
  <si>
    <t>Pound Town 2</t>
  </si>
  <si>
    <t>Sexyy Red, Nicki Minaj, Tay Keith</t>
  </si>
  <si>
    <t>Sexyy Red feat. Nicki Minaj, Tay Keith</t>
  </si>
  <si>
    <t>Looking for the Hoes (Ain't My Fault)</t>
  </si>
  <si>
    <t>Sexyy Red, Craig B, Joseph Smokey Johnson, Silkk the Shocker, Wardell Quezergue, Don Alfonso, Menace, Melz, Truebeatzz</t>
  </si>
  <si>
    <t>Sexxy Walk</t>
  </si>
  <si>
    <t>Sexyy Red, Juicy J, DJ Paul</t>
  </si>
  <si>
    <t>Strictly for Strippers</t>
  </si>
  <si>
    <t>Sexyy Red, Juicy J, ATL Jacob, Omar Guetfa</t>
  </si>
  <si>
    <t>Sexyy Red feat. Juicy J, ATL Jacob</t>
  </si>
  <si>
    <t>Nachos</t>
  </si>
  <si>
    <t>Sexyy Red, OKAZAKI, NOAHINHISBAG</t>
  </si>
  <si>
    <t>Mad at Me</t>
  </si>
  <si>
    <t>Sexyy Red, Tay Keith, TheRechordz, Jupyter, Dizzycleanface, Antoine Edwards, Christopher Lee, Juan Madrid, Ayatullah Muhammad, ELON BROWN</t>
  </si>
  <si>
    <t>Born by the River</t>
  </si>
  <si>
    <t>Sukihana, Sexyy Red, Captain Curt</t>
  </si>
  <si>
    <t>Sexyy Red feat. Sukihara</t>
  </si>
  <si>
    <t>Female Gucci Mane</t>
  </si>
  <si>
    <t>Shawn Ferrari, Sexyy Red, ToddGleeFul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</si>
</sst>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:mm;@"/>
    <numFmt numFmtId="177" formatCode="[$-F400]h:mm:ss\ AM/PM"/>
  </numFmts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8">
    <dxf>
      <numFmt numFmtId="177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177" formatCode="[$-F400]h:mm:ss\ AM/P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6" xr16:uid="{AB0592A4-640E-4290-918C-8052B1D24271}" autoFormatId="20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Title" tableColumnId="2"/>
      <queryTableField id="3" name="Composer" tableColumnId="3"/>
      <queryTableField id="4" name="Performer" tableColumnId="4"/>
      <queryTableField id="5" name="Tim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4" xr16:uid="{C2287890-7BE0-4AAF-9078-6E585424AC99}" autoFormatId="20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Title" tableColumnId="2"/>
      <queryTableField id="3" name="Composer" tableColumnId="3"/>
      <queryTableField id="4" name="Performer" tableColumnId="4"/>
      <queryTableField id="5" name="Tim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5C7754E-23C1-4541-946F-EA3237390C23}" name="Table_3__695" displayName="Table_3__695" ref="A1:E12" tableType="queryTable" totalsRowShown="0">
  <autoFilter ref="A1:E12" xr:uid="{25C7754E-23C1-4541-946F-EA3237390C23}"/>
  <tableColumns count="5">
    <tableColumn id="1" xr3:uid="{B3E5E8B8-9FEA-47C8-B4A9-0D37A47D7496}" uniqueName="1" name="Column1" queryTableFieldId="1"/>
    <tableColumn id="2" xr3:uid="{AFA1EEF7-F3DC-45A1-B366-2FC34761BB87}" uniqueName="2" name="Title" queryTableFieldId="2" dataDxfId="3"/>
    <tableColumn id="3" xr3:uid="{D36C19A0-91ED-4DF4-9359-D51BBF37785B}" uniqueName="3" name="Composer" queryTableFieldId="3" dataDxfId="2"/>
    <tableColumn id="4" xr3:uid="{89BB6944-E453-4E81-A88C-22E130AB8DF3}" uniqueName="4" name="Performer" queryTableFieldId="4" dataDxfId="1"/>
    <tableColumn id="5" xr3:uid="{D7FAA748-6997-447E-8A2F-29932EA1C678}" uniqueName="5" name="Time" queryTableFieldId="5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D41C622-141A-45DA-A3B3-7115C3AD4DB1}" name="Table_3__69" displayName="Table_3__69" ref="A1:E12" tableType="queryTable" totalsRowShown="0">
  <autoFilter ref="A1:E12" xr:uid="{2D41C622-141A-45DA-A3B3-7115C3AD4DB1}"/>
  <tableColumns count="5">
    <tableColumn id="1" xr3:uid="{6F938D01-B6C4-4163-ABC4-C08B977058A6}" uniqueName="1" name="Column1" queryTableFieldId="1"/>
    <tableColumn id="2" xr3:uid="{11D5ED14-BB84-4FF7-A142-01A0CEA3374B}" uniqueName="2" name="Title" queryTableFieldId="2" dataDxfId="7"/>
    <tableColumn id="3" xr3:uid="{FEAEC765-BC4F-41A8-9802-B86FD5920F15}" uniqueName="3" name="Composer" queryTableFieldId="3" dataDxfId="6"/>
    <tableColumn id="4" xr3:uid="{D7F93E07-10E3-44F1-8E1A-A6D0FF6F75A4}" uniqueName="4" name="Performer" queryTableFieldId="4" dataDxfId="5"/>
    <tableColumn id="5" xr3:uid="{7EDA9A83-B70A-4216-9811-3BEBCC1117C0}" uniqueName="5" name="Time" queryTableFieldId="5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>
      <selection sqref="A1:XFD1048576"/>
    </sheetView>
  </sheetViews>
  <sheetFormatPr defaultRowHeight="19.5"/>
  <cols>
    <col min="1" max="1" width="11" bestFit="1" customWidth="1"/>
    <col min="2" max="2" width="34.44140625" bestFit="1" customWidth="1"/>
    <col min="3" max="3" width="80.88671875" bestFit="1" customWidth="1"/>
    <col min="4" max="4" width="35.33203125" bestFit="1" customWidth="1"/>
    <col min="5" max="5" width="7.77734375" bestFit="1" customWidth="1"/>
  </cols>
  <sheetData>
    <row r="1" spans="1:5">
      <c r="A1" t="s">
        <v>7</v>
      </c>
      <c r="B1" t="s">
        <v>4</v>
      </c>
      <c r="C1" t="s">
        <v>3</v>
      </c>
      <c r="D1" t="s">
        <v>6</v>
      </c>
      <c r="E1" t="s">
        <v>5</v>
      </c>
    </row>
    <row r="2" spans="1:5">
      <c r="A2">
        <v>1</v>
      </c>
      <c r="B2" s="6" t="s">
        <v>8</v>
      </c>
      <c r="C2" s="6" t="s">
        <v>9</v>
      </c>
      <c r="D2" s="6" t="s">
        <v>10</v>
      </c>
      <c r="E2" s="5">
        <v>0.10486111111111111</v>
      </c>
    </row>
    <row r="3" spans="1:5">
      <c r="A3">
        <v>2</v>
      </c>
      <c r="B3" s="6" t="s">
        <v>11</v>
      </c>
      <c r="C3" s="6" t="s">
        <v>12</v>
      </c>
      <c r="D3" s="6" t="s">
        <v>10</v>
      </c>
      <c r="E3" s="5">
        <v>0.10902777777777778</v>
      </c>
    </row>
    <row r="4" spans="1:5">
      <c r="A4">
        <v>3</v>
      </c>
      <c r="B4" s="6" t="s">
        <v>13</v>
      </c>
      <c r="C4" s="6" t="s">
        <v>14</v>
      </c>
      <c r="D4" s="6" t="s">
        <v>10</v>
      </c>
      <c r="E4" s="5">
        <v>0.10625</v>
      </c>
    </row>
    <row r="5" spans="1:5">
      <c r="A5">
        <v>4</v>
      </c>
      <c r="B5" s="6" t="s">
        <v>15</v>
      </c>
      <c r="C5" s="6" t="s">
        <v>16</v>
      </c>
      <c r="D5" s="6" t="s">
        <v>17</v>
      </c>
      <c r="E5" s="5">
        <v>0.13472222222222222</v>
      </c>
    </row>
    <row r="6" spans="1:5">
      <c r="A6">
        <v>5</v>
      </c>
      <c r="B6" s="6" t="s">
        <v>18</v>
      </c>
      <c r="C6" s="6" t="s">
        <v>19</v>
      </c>
      <c r="D6" s="6" t="s">
        <v>10</v>
      </c>
      <c r="E6" s="5">
        <v>9.0277777777777776E-2</v>
      </c>
    </row>
    <row r="7" spans="1:5">
      <c r="A7">
        <v>6</v>
      </c>
      <c r="B7" s="6" t="s">
        <v>20</v>
      </c>
      <c r="C7" s="6" t="s">
        <v>21</v>
      </c>
      <c r="D7" s="6" t="s">
        <v>10</v>
      </c>
      <c r="E7" s="5">
        <v>0.10625</v>
      </c>
    </row>
    <row r="8" spans="1:5">
      <c r="A8">
        <v>7</v>
      </c>
      <c r="B8" s="6" t="s">
        <v>22</v>
      </c>
      <c r="C8" s="6" t="s">
        <v>23</v>
      </c>
      <c r="D8" s="6" t="s">
        <v>24</v>
      </c>
      <c r="E8" s="5">
        <v>0.16805555555555557</v>
      </c>
    </row>
    <row r="9" spans="1:5">
      <c r="A9">
        <v>8</v>
      </c>
      <c r="B9" s="6" t="s">
        <v>25</v>
      </c>
      <c r="C9" s="6" t="s">
        <v>26</v>
      </c>
      <c r="D9" s="6" t="s">
        <v>10</v>
      </c>
      <c r="E9" s="5">
        <v>0.11805555555555555</v>
      </c>
    </row>
    <row r="10" spans="1:5">
      <c r="A10">
        <v>9</v>
      </c>
      <c r="B10" s="6" t="s">
        <v>27</v>
      </c>
      <c r="C10" s="6" t="s">
        <v>28</v>
      </c>
      <c r="D10" s="6" t="s">
        <v>10</v>
      </c>
      <c r="E10" s="5">
        <v>0.11041666666666666</v>
      </c>
    </row>
    <row r="11" spans="1:5">
      <c r="A11">
        <v>10</v>
      </c>
      <c r="B11" s="6" t="s">
        <v>29</v>
      </c>
      <c r="C11" s="6" t="s">
        <v>30</v>
      </c>
      <c r="D11" s="6" t="s">
        <v>31</v>
      </c>
      <c r="E11" s="5">
        <v>0.1076388888888889</v>
      </c>
    </row>
    <row r="12" spans="1:5">
      <c r="A12">
        <v>11</v>
      </c>
      <c r="B12" s="6" t="s">
        <v>32</v>
      </c>
      <c r="C12" s="6" t="s">
        <v>33</v>
      </c>
      <c r="D12" s="6" t="s">
        <v>10</v>
      </c>
      <c r="E12" s="5">
        <v>0.10347222222222222</v>
      </c>
    </row>
  </sheetData>
  <phoneticPr fontId="1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30"/>
  <sheetViews>
    <sheetView tabSelected="1" workbookViewId="0">
      <selection activeCell="K15" sqref="A3:K15"/>
    </sheetView>
  </sheetViews>
  <sheetFormatPr defaultColWidth="11.5546875" defaultRowHeight="19.5"/>
  <cols>
    <col min="1" max="1" width="4.21875" customWidth="1"/>
    <col min="3" max="3" width="3.88671875" style="3" customWidth="1"/>
    <col min="4" max="4" width="21.109375" customWidth="1"/>
    <col min="5" max="5" width="4" style="3" customWidth="1"/>
    <col min="6" max="6" width="38.21875" customWidth="1"/>
    <col min="7" max="7" width="4.44140625" style="3" customWidth="1"/>
    <col min="8" max="8" width="21.77734375" customWidth="1"/>
    <col min="9" max="9" width="4.33203125" style="3" customWidth="1"/>
    <col min="10" max="10" width="8.44140625" customWidth="1"/>
    <col min="11" max="11" width="3.44140625" style="3" customWidth="1"/>
  </cols>
  <sheetData>
    <row r="2" spans="1:11">
      <c r="D2" s="1">
        <f t="array" ref="D2">MAX(LENB(Sheet1!B1:'Sheet1'!B30))</f>
        <v>37</v>
      </c>
      <c r="F2" s="1">
        <f t="array" ref="F2">MAX(LENB(Sheet1!C1:'Sheet1'!C30))</f>
        <v>137</v>
      </c>
      <c r="H2" s="1">
        <f t="array" ref="H2">MAX(LENB(Sheet1!D1:'Sheet1'!D30))</f>
        <v>38</v>
      </c>
      <c r="J2" s="1">
        <f>7</f>
        <v>7</v>
      </c>
    </row>
    <row r="3" spans="1:11">
      <c r="A3" t="s">
        <v>0</v>
      </c>
      <c r="B3" t="str">
        <f>" "&amp;"No."&amp;" "</f>
        <v xml:space="preserve"> No. </v>
      </c>
      <c r="C3" s="3" t="s">
        <v>0</v>
      </c>
      <c r="D3" t="str">
        <f>" "&amp;LEFTB("Title"&amp;REPT(" ",$D$2),$D$2)</f>
        <v xml:space="preserve"> Title                                </v>
      </c>
      <c r="E3" s="3" t="s">
        <v>0</v>
      </c>
      <c r="F3" t="str">
        <f>" "&amp;LEFTB("Composers"&amp;REPT(" ",$F$2-1),$F$2-1)</f>
        <v xml:space="preserve"> Composers                                                                                                                               </v>
      </c>
      <c r="G3" s="3" t="s">
        <v>0</v>
      </c>
      <c r="H3" t="str">
        <f>" "&amp;LEFTB("Performer"&amp;REPT(" ",$H$2),$H$2)</f>
        <v xml:space="preserve"> Performer                             </v>
      </c>
      <c r="I3" s="3" t="s">
        <v>0</v>
      </c>
      <c r="J3" t="str">
        <f>" "&amp;"Time"</f>
        <v xml:space="preserve"> Time</v>
      </c>
      <c r="K3" s="3" t="s">
        <v>0</v>
      </c>
    </row>
    <row r="4" spans="1:11">
      <c r="A4" t="s">
        <v>0</v>
      </c>
      <c r="B4" t="s">
        <v>1</v>
      </c>
      <c r="C4" s="3" t="s">
        <v>0</v>
      </c>
      <c r="D4" t="str">
        <f>REPT("-",$D$2)&amp;" "</f>
        <v xml:space="preserve">------------------------------------- </v>
      </c>
      <c r="E4" s="3" t="s">
        <v>0</v>
      </c>
      <c r="F4" t="str">
        <f>" "&amp;REPT("-",$F$2)&amp;" "</f>
        <v xml:space="preserve"> ----------------------------------------------------------------------------------------------------------------------------------------- </v>
      </c>
      <c r="G4" s="3" t="s">
        <v>0</v>
      </c>
      <c r="H4" t="str">
        <f>" "&amp;REPT("-",$H$2)&amp;" "</f>
        <v xml:space="preserve"> -------------------------------------- </v>
      </c>
      <c r="I4" s="3" t="s">
        <v>0</v>
      </c>
      <c r="J4" t="s">
        <v>2</v>
      </c>
      <c r="K4" s="3" t="s">
        <v>0</v>
      </c>
    </row>
    <row r="5" spans="1:11">
      <c r="A5" t="s">
        <v>0</v>
      </c>
      <c r="B5">
        <f>Sheet1!A2</f>
        <v>1</v>
      </c>
      <c r="C5" s="3" t="s">
        <v>0</v>
      </c>
      <c r="D5" s="4" t="str">
        <f>LEFTB(Sheet1!B2&amp;REPT(" ",$D$2),$D$2)</f>
        <v xml:space="preserve">I'm the Shit                         </v>
      </c>
      <c r="E5" s="3" t="s">
        <v>0</v>
      </c>
      <c r="F5" t="str">
        <f>" "&amp;LEFTB(Sheet1!C2&amp;REPT(" ",$F$2),$F$2)</f>
        <v xml:space="preserve"> Sexyy Red, Mac Fly                                                                                                                       </v>
      </c>
      <c r="G5" s="3" t="s">
        <v>0</v>
      </c>
      <c r="H5" t="str">
        <f>LEFTB(Sheet1!D2&amp;REPT(" ",$H$2),$H$2)</f>
        <v xml:space="preserve">Sexyy Red                             </v>
      </c>
      <c r="I5" s="3" t="s">
        <v>0</v>
      </c>
      <c r="J5" s="2" t="str">
        <f>TEXT(Sheet1!E2,"HH:MM")&amp;" "</f>
        <v xml:space="preserve">02:31 </v>
      </c>
      <c r="K5" s="3" t="s">
        <v>0</v>
      </c>
    </row>
    <row r="6" spans="1:11">
      <c r="A6" t="s">
        <v>0</v>
      </c>
      <c r="B6">
        <f>Sheet1!A3</f>
        <v>2</v>
      </c>
      <c r="C6" s="3" t="s">
        <v>0</v>
      </c>
      <c r="D6" s="4" t="str">
        <f>LEFTB(Sheet1!B3&amp;REPT(" ",$D$2),$D$2)</f>
        <v xml:space="preserve">SkeeYee                              </v>
      </c>
      <c r="E6" s="3" t="s">
        <v>0</v>
      </c>
      <c r="F6" t="str">
        <f>" "&amp;LEFTB(Sheet1!C3&amp;REPT(" ",$F$2),$F$2)</f>
        <v xml:space="preserve"> Sexyy Red, Tay Keith, DJ Meech, BanBwoi                                                                                                  </v>
      </c>
      <c r="G6" s="3" t="s">
        <v>0</v>
      </c>
      <c r="H6" t="str">
        <f>LEFTB(Sheet1!D3&amp;REPT(" ",$H$2),$H$2)</f>
        <v xml:space="preserve">Sexyy Red                             </v>
      </c>
      <c r="I6" s="3" t="s">
        <v>0</v>
      </c>
      <c r="J6" s="2" t="str">
        <f>TEXT(Sheet1!E3,"HH:MM")&amp;" "</f>
        <v xml:space="preserve">02:37 </v>
      </c>
      <c r="K6" s="3" t="s">
        <v>0</v>
      </c>
    </row>
    <row r="7" spans="1:11">
      <c r="A7" t="s">
        <v>0</v>
      </c>
      <c r="B7">
        <f>Sheet1!A4</f>
        <v>3</v>
      </c>
      <c r="C7" s="3" t="s">
        <v>0</v>
      </c>
      <c r="D7" s="4" t="str">
        <f>LEFTB(Sheet1!B4&amp;REPT(" ",$D$2),$D$2)</f>
        <v xml:space="preserve">HellCats SRTs                        </v>
      </c>
      <c r="E7" s="3" t="s">
        <v>0</v>
      </c>
      <c r="F7" t="str">
        <f>" "&amp;LEFTB(Sheet1!C4&amp;REPT(" ",$F$2),$F$2)</f>
        <v xml:space="preserve"> Sexyy Red, Shawn Ferrari                                                                                                                 </v>
      </c>
      <c r="G7" s="3" t="s">
        <v>0</v>
      </c>
      <c r="H7" t="str">
        <f>LEFTB(Sheet1!D4&amp;REPT(" ",$H$2),$H$2)</f>
        <v xml:space="preserve">Sexyy Red                             </v>
      </c>
      <c r="I7" s="3" t="s">
        <v>0</v>
      </c>
      <c r="J7" s="2" t="str">
        <f>TEXT(Sheet1!E4,"HH:MM")&amp;" "</f>
        <v xml:space="preserve">02:33 </v>
      </c>
      <c r="K7" s="3" t="s">
        <v>0</v>
      </c>
    </row>
    <row r="8" spans="1:11">
      <c r="A8" t="s">
        <v>0</v>
      </c>
      <c r="B8">
        <f>Sheet1!A5</f>
        <v>4</v>
      </c>
      <c r="C8" s="3" t="s">
        <v>0</v>
      </c>
      <c r="D8" s="4" t="str">
        <f>LEFTB(Sheet1!B5&amp;REPT(" ",$D$2),$D$2)</f>
        <v xml:space="preserve">Pound Town 2                         </v>
      </c>
      <c r="E8" s="3" t="s">
        <v>0</v>
      </c>
      <c r="F8" t="str">
        <f>" "&amp;LEFTB(Sheet1!C5&amp;REPT(" ",$F$2),$F$2)</f>
        <v xml:space="preserve"> Sexyy Red, Nicki Minaj, Tay Keith                                                                                                        </v>
      </c>
      <c r="G8" s="3" t="s">
        <v>0</v>
      </c>
      <c r="H8" t="str">
        <f>LEFTB(Sheet1!D5&amp;REPT(" ",$H$2),$H$2)</f>
        <v>Sexyy Red feat. Nicki Minaj, Tay Keith</v>
      </c>
      <c r="I8" s="3" t="s">
        <v>0</v>
      </c>
      <c r="J8" s="2" t="str">
        <f>TEXT(Sheet1!E5,"HH:MM")&amp;" "</f>
        <v xml:space="preserve">03:14 </v>
      </c>
      <c r="K8" s="3" t="s">
        <v>0</v>
      </c>
    </row>
    <row r="9" spans="1:11">
      <c r="A9" t="s">
        <v>0</v>
      </c>
      <c r="B9">
        <f>Sheet1!A6</f>
        <v>5</v>
      </c>
      <c r="C9" s="3" t="s">
        <v>0</v>
      </c>
      <c r="D9" s="4" t="str">
        <f>LEFTB(Sheet1!B6&amp;REPT(" ",$D$2),$D$2)</f>
        <v>Looking for the Hoes (Ain't My Fault)</v>
      </c>
      <c r="E9" s="3" t="s">
        <v>0</v>
      </c>
      <c r="F9" t="str">
        <f>" "&amp;LEFTB(Sheet1!C6&amp;REPT(" ",$F$2),$F$2)</f>
        <v xml:space="preserve"> Sexyy Red, Craig B, Joseph Smokey Johnson, Silkk the Shocker, Wardell Quezergue, Don Alfonso, Menace, Melz, Truebeatzz                   </v>
      </c>
      <c r="G9" s="3" t="s">
        <v>0</v>
      </c>
      <c r="H9" t="str">
        <f>LEFTB(Sheet1!D6&amp;REPT(" ",$H$2),$H$2)</f>
        <v xml:space="preserve">Sexyy Red                             </v>
      </c>
      <c r="I9" s="3" t="s">
        <v>0</v>
      </c>
      <c r="J9" s="2" t="str">
        <f>TEXT(Sheet1!E6,"HH:MM")&amp;" "</f>
        <v xml:space="preserve">02:10 </v>
      </c>
      <c r="K9" s="3" t="s">
        <v>0</v>
      </c>
    </row>
    <row r="10" spans="1:11">
      <c r="A10" t="s">
        <v>0</v>
      </c>
      <c r="B10">
        <f>Sheet1!A7</f>
        <v>6</v>
      </c>
      <c r="C10" s="3" t="s">
        <v>0</v>
      </c>
      <c r="D10" s="4" t="str">
        <f>LEFTB(Sheet1!B7&amp;REPT(" ",$D$2),$D$2)</f>
        <v xml:space="preserve">Sexxy Walk                           </v>
      </c>
      <c r="E10" s="3" t="s">
        <v>0</v>
      </c>
      <c r="F10" t="str">
        <f>" "&amp;LEFTB(Sheet1!C7&amp;REPT(" ",$F$2),$F$2)</f>
        <v xml:space="preserve"> Sexyy Red, Juicy J, DJ Paul                                                                                                              </v>
      </c>
      <c r="G10" s="3" t="s">
        <v>0</v>
      </c>
      <c r="H10" t="str">
        <f>LEFTB(Sheet1!D7&amp;REPT(" ",$H$2),$H$2)</f>
        <v xml:space="preserve">Sexyy Red                             </v>
      </c>
      <c r="I10" s="3" t="s">
        <v>0</v>
      </c>
      <c r="J10" s="2" t="str">
        <f>TEXT(Sheet1!E7,"HH:MM")&amp;" "</f>
        <v xml:space="preserve">02:33 </v>
      </c>
      <c r="K10" s="3" t="s">
        <v>0</v>
      </c>
    </row>
    <row r="11" spans="1:11">
      <c r="A11" t="s">
        <v>0</v>
      </c>
      <c r="B11">
        <f>Sheet1!A8</f>
        <v>7</v>
      </c>
      <c r="C11" s="3" t="s">
        <v>0</v>
      </c>
      <c r="D11" s="4" t="str">
        <f>LEFTB(Sheet1!B8&amp;REPT(" ",$D$2),$D$2)</f>
        <v xml:space="preserve">Strictly for Strippers               </v>
      </c>
      <c r="E11" s="3" t="s">
        <v>0</v>
      </c>
      <c r="F11" t="str">
        <f>" "&amp;LEFTB(Sheet1!C8&amp;REPT(" ",$F$2),$F$2)</f>
        <v xml:space="preserve"> Sexyy Red, Juicy J, ATL Jacob, Omar Guetfa                                                                                               </v>
      </c>
      <c r="G11" s="3" t="s">
        <v>0</v>
      </c>
      <c r="H11" t="str">
        <f>LEFTB(Sheet1!D8&amp;REPT(" ",$H$2),$H$2)</f>
        <v xml:space="preserve">Sexyy Red feat. Juicy J, ATL Jacob    </v>
      </c>
      <c r="I11" s="3" t="s">
        <v>0</v>
      </c>
      <c r="J11" s="2" t="str">
        <f>TEXT(Sheet1!E8,"HH:MM")&amp;" "</f>
        <v xml:space="preserve">04:02 </v>
      </c>
      <c r="K11" s="3" t="s">
        <v>0</v>
      </c>
    </row>
    <row r="12" spans="1:11">
      <c r="A12" t="s">
        <v>0</v>
      </c>
      <c r="B12">
        <f>Sheet1!A9</f>
        <v>8</v>
      </c>
      <c r="C12" s="3" t="s">
        <v>0</v>
      </c>
      <c r="D12" s="4" t="str">
        <f>LEFTB(Sheet1!B9&amp;REPT(" ",$D$2),$D$2)</f>
        <v xml:space="preserve">Nachos                               </v>
      </c>
      <c r="E12" s="3" t="s">
        <v>0</v>
      </c>
      <c r="F12" t="str">
        <f>" "&amp;LEFTB(Sheet1!C9&amp;REPT(" ",$F$2),$F$2)</f>
        <v xml:space="preserve"> Sexyy Red, OKAZAKI, NOAHINHISBAG                                                                                                         </v>
      </c>
      <c r="G12" s="3" t="s">
        <v>0</v>
      </c>
      <c r="H12" t="str">
        <f>LEFTB(Sheet1!D9&amp;REPT(" ",$H$2),$H$2)</f>
        <v xml:space="preserve">Sexyy Red                             </v>
      </c>
      <c r="I12" s="3" t="s">
        <v>0</v>
      </c>
      <c r="J12" s="2" t="str">
        <f>TEXT(Sheet1!E9,"HH:MM")&amp;" "</f>
        <v xml:space="preserve">02:50 </v>
      </c>
      <c r="K12" s="3" t="s">
        <v>0</v>
      </c>
    </row>
    <row r="13" spans="1:11">
      <c r="A13" t="s">
        <v>0</v>
      </c>
      <c r="B13">
        <f>Sheet1!A10</f>
        <v>9</v>
      </c>
      <c r="C13" s="3" t="s">
        <v>0</v>
      </c>
      <c r="D13" s="4" t="str">
        <f>LEFTB(Sheet1!B10&amp;REPT(" ",$D$2),$D$2)</f>
        <v xml:space="preserve">Mad at Me                            </v>
      </c>
      <c r="E13" s="3" t="s">
        <v>0</v>
      </c>
      <c r="F13" t="str">
        <f>" "&amp;LEFTB(Sheet1!C10&amp;REPT(" ",$F$2),$F$2)</f>
        <v xml:space="preserve"> Sexyy Red, Tay Keith, TheRechordz, Jupyter, Dizzycleanface, Antoine Edwards, Christopher Lee, Juan Madrid, Ayatullah Muhammad, ELON BROWN</v>
      </c>
      <c r="G13" s="3" t="s">
        <v>0</v>
      </c>
      <c r="H13" t="str">
        <f>LEFTB(Sheet1!D10&amp;REPT(" ",$H$2),$H$2)</f>
        <v xml:space="preserve">Sexyy Red                             </v>
      </c>
      <c r="I13" s="3" t="s">
        <v>0</v>
      </c>
      <c r="J13" s="2" t="str">
        <f>TEXT(Sheet1!E10,"HH:MM")&amp;" "</f>
        <v xml:space="preserve">02:39 </v>
      </c>
      <c r="K13" s="3" t="s">
        <v>0</v>
      </c>
    </row>
    <row r="14" spans="1:11">
      <c r="A14" t="s">
        <v>0</v>
      </c>
      <c r="B14">
        <f>Sheet1!A11</f>
        <v>10</v>
      </c>
      <c r="C14" s="3" t="s">
        <v>0</v>
      </c>
      <c r="D14" s="4" t="str">
        <f>LEFTB(Sheet1!B11&amp;REPT(" ",$D$2),$D$2)</f>
        <v xml:space="preserve">Born by the River                    </v>
      </c>
      <c r="E14" s="3" t="s">
        <v>0</v>
      </c>
      <c r="F14" t="str">
        <f>" "&amp;LEFTB(Sheet1!C11&amp;REPT(" ",$F$2),$F$2)</f>
        <v xml:space="preserve"> Sukihana, Sexyy Red, Captain Curt                                                                                                        </v>
      </c>
      <c r="G14" s="3" t="s">
        <v>0</v>
      </c>
      <c r="H14" t="str">
        <f>LEFTB(Sheet1!D11&amp;REPT(" ",$H$2),$H$2)</f>
        <v xml:space="preserve">Sexyy Red feat. Sukihara              </v>
      </c>
      <c r="I14" s="3" t="s">
        <v>0</v>
      </c>
      <c r="J14" s="2" t="str">
        <f>TEXT(Sheet1!E11,"HH:MM")&amp;" "</f>
        <v xml:space="preserve">02:35 </v>
      </c>
      <c r="K14" s="3" t="s">
        <v>0</v>
      </c>
    </row>
    <row r="15" spans="1:11">
      <c r="A15" t="s">
        <v>0</v>
      </c>
      <c r="B15">
        <f>Sheet1!A12</f>
        <v>11</v>
      </c>
      <c r="C15" s="3" t="s">
        <v>0</v>
      </c>
      <c r="D15" s="4" t="str">
        <f>LEFTB(Sheet1!B12&amp;REPT(" ",$D$2),$D$2)</f>
        <v xml:space="preserve">Female Gucci Mane                    </v>
      </c>
      <c r="E15" s="3" t="s">
        <v>0</v>
      </c>
      <c r="F15" t="str">
        <f>" "&amp;LEFTB(Sheet1!C12&amp;REPT(" ",$F$2),$F$2)</f>
        <v xml:space="preserve"> Shawn Ferrari, Sexyy Red, ToddGleeFul                                                                                                    </v>
      </c>
      <c r="G15" s="3" t="s">
        <v>0</v>
      </c>
      <c r="H15" t="str">
        <f>LEFTB(Sheet1!D12&amp;REPT(" ",$H$2),$H$2)</f>
        <v xml:space="preserve">Sexyy Red                             </v>
      </c>
      <c r="I15" s="3" t="s">
        <v>0</v>
      </c>
      <c r="J15" s="2" t="str">
        <f>TEXT(Sheet1!E12,"HH:MM")&amp;" "</f>
        <v xml:space="preserve">02:29 </v>
      </c>
      <c r="K15" s="3" t="s">
        <v>0</v>
      </c>
    </row>
    <row r="16" spans="1:11">
      <c r="A16" t="s">
        <v>0</v>
      </c>
      <c r="B16">
        <f>Sheet1!A13</f>
        <v>0</v>
      </c>
      <c r="C16" s="3" t="s">
        <v>0</v>
      </c>
      <c r="D16" s="4" t="str">
        <f>LEFTB(Sheet1!B13&amp;REPT(" ",$D$2),$D$2)</f>
        <v xml:space="preserve">                                     </v>
      </c>
      <c r="E16" s="3" t="s">
        <v>0</v>
      </c>
      <c r="F16" t="str">
        <f>" "&amp;LEFTB(Sheet1!C13&amp;REPT(" ",$F$2),$F$2)</f>
        <v xml:space="preserve">                                                                                                                                          </v>
      </c>
      <c r="G16" s="3" t="s">
        <v>0</v>
      </c>
      <c r="H16" t="str">
        <f>LEFTB(Sheet1!D13&amp;REPT(" ",$H$2),$H$2)</f>
        <v xml:space="preserve">                                      </v>
      </c>
      <c r="I16" s="3" t="s">
        <v>0</v>
      </c>
      <c r="J16" s="2" t="str">
        <f>TEXT(Sheet1!E13,"HH:MM")&amp;" "</f>
        <v xml:space="preserve">00:00 </v>
      </c>
      <c r="K16" s="3" t="s">
        <v>0</v>
      </c>
    </row>
    <row r="17" spans="1:11">
      <c r="A17" t="s">
        <v>0</v>
      </c>
      <c r="B17">
        <f>Sheet1!A14</f>
        <v>0</v>
      </c>
      <c r="C17" s="3" t="s">
        <v>0</v>
      </c>
      <c r="D17" s="4" t="str">
        <f>LEFTB(Sheet1!B14&amp;REPT(" ",$D$2),$D$2)</f>
        <v xml:space="preserve">                                     </v>
      </c>
      <c r="E17" s="3" t="s">
        <v>0</v>
      </c>
      <c r="F17" t="str">
        <f>" "&amp;LEFTB(Sheet1!C14&amp;REPT(" ",$F$2),$F$2)</f>
        <v xml:space="preserve">                                                                                                                                          </v>
      </c>
      <c r="G17" s="3" t="s">
        <v>0</v>
      </c>
      <c r="H17" t="str">
        <f>LEFTB(Sheet1!D14&amp;REPT(" ",$H$2),$H$2)</f>
        <v xml:space="preserve">                                      </v>
      </c>
      <c r="I17" s="3" t="s">
        <v>0</v>
      </c>
      <c r="J17" s="2" t="str">
        <f>TEXT(Sheet1!E14,"HH:MM")&amp;" "</f>
        <v xml:space="preserve">00:00 </v>
      </c>
      <c r="K17" s="3" t="s">
        <v>0</v>
      </c>
    </row>
    <row r="18" spans="1:11">
      <c r="A18" t="s">
        <v>0</v>
      </c>
      <c r="B18">
        <f>Sheet1!A15</f>
        <v>0</v>
      </c>
      <c r="C18" s="3" t="s">
        <v>0</v>
      </c>
      <c r="D18" t="str">
        <f>LEFTB(Sheet1!B15&amp;REPT(" ",$D$2),$D$2)</f>
        <v xml:space="preserve">                                     </v>
      </c>
      <c r="E18" s="3" t="s">
        <v>0</v>
      </c>
      <c r="F18" t="str">
        <f>" "&amp;LEFTB(Sheet1!C15&amp;REPT(" ",$F$2),$F$2)</f>
        <v xml:space="preserve">                                                                                                                                          </v>
      </c>
      <c r="G18" s="3" t="s">
        <v>0</v>
      </c>
      <c r="H18" t="str">
        <f>LEFTB(Sheet1!D15&amp;REPT(" ",$H$2),$H$2)</f>
        <v xml:space="preserve">                                      </v>
      </c>
      <c r="I18" s="3" t="s">
        <v>0</v>
      </c>
      <c r="J18" s="2" t="str">
        <f>TEXT(Sheet1!E15,"HH:MM")&amp;" "</f>
        <v xml:space="preserve">00:00 </v>
      </c>
      <c r="K18" s="3" t="s">
        <v>0</v>
      </c>
    </row>
    <row r="19" spans="1:11">
      <c r="A19" t="s">
        <v>0</v>
      </c>
      <c r="B19">
        <f>Sheet1!A16</f>
        <v>0</v>
      </c>
      <c r="C19" s="3" t="s">
        <v>0</v>
      </c>
      <c r="D19" t="str">
        <f>LEFTB(Sheet1!B16&amp;REPT(" ",$D$2),$D$2)</f>
        <v xml:space="preserve">                                     </v>
      </c>
      <c r="E19" s="3" t="s">
        <v>0</v>
      </c>
      <c r="F19" t="str">
        <f>" "&amp;LEFTB(Sheet1!C16&amp;REPT(" ",$F$2),$F$2)</f>
        <v xml:space="preserve">                                                                                                                                          </v>
      </c>
      <c r="G19" s="3" t="s">
        <v>0</v>
      </c>
      <c r="H19" t="str">
        <f>LEFTB(Sheet1!D16&amp;REPT(" ",$H$2),$H$2)</f>
        <v xml:space="preserve">                                      </v>
      </c>
      <c r="I19" s="3" t="s">
        <v>0</v>
      </c>
      <c r="J19" s="2" t="str">
        <f>TEXT(Sheet1!E16,"HH:MM")&amp;" "</f>
        <v xml:space="preserve">00:00 </v>
      </c>
      <c r="K19" s="3" t="s">
        <v>0</v>
      </c>
    </row>
    <row r="20" spans="1:11">
      <c r="A20" t="s">
        <v>0</v>
      </c>
      <c r="B20">
        <f>Sheet1!A17</f>
        <v>0</v>
      </c>
      <c r="C20" s="3" t="s">
        <v>0</v>
      </c>
      <c r="D20" t="str">
        <f>LEFTB(Sheet1!B17&amp;REPT(" ",$D$2),$D$2)</f>
        <v xml:space="preserve">                                     </v>
      </c>
      <c r="E20" s="3" t="s">
        <v>0</v>
      </c>
      <c r="F20" t="str">
        <f>" "&amp;LEFTB(Sheet1!C17&amp;REPT(" ",$F$2),$F$2)</f>
        <v xml:space="preserve">                                                                                                                                          </v>
      </c>
      <c r="G20" s="3" t="s">
        <v>0</v>
      </c>
      <c r="H20" t="str">
        <f>LEFTB(Sheet1!D17&amp;REPT(" ",$H$2),$H$2)</f>
        <v xml:space="preserve">                                      </v>
      </c>
      <c r="I20" s="3" t="s">
        <v>0</v>
      </c>
      <c r="J20" s="2" t="str">
        <f>TEXT(Sheet1!E17,"HH:MM")&amp;" "</f>
        <v xml:space="preserve">00:00 </v>
      </c>
      <c r="K20" s="3" t="s">
        <v>0</v>
      </c>
    </row>
    <row r="21" spans="1:11">
      <c r="A21" t="s">
        <v>0</v>
      </c>
      <c r="B21">
        <f>Sheet1!A18</f>
        <v>0</v>
      </c>
      <c r="C21" s="3" t="s">
        <v>0</v>
      </c>
      <c r="D21" t="str">
        <f>LEFTB(Sheet1!B18&amp;REPT(" ",$D$2),$D$2)</f>
        <v xml:space="preserve">                                     </v>
      </c>
      <c r="E21" s="3" t="s">
        <v>0</v>
      </c>
      <c r="F21" t="str">
        <f>" "&amp;LEFTB(Sheet1!C18&amp;REPT(" ",$F$2),$F$2)</f>
        <v xml:space="preserve">                                                                                                                                          </v>
      </c>
      <c r="G21" s="3" t="s">
        <v>0</v>
      </c>
      <c r="H21" t="str">
        <f>LEFTB(Sheet1!D18&amp;REPT(" ",$H$2),$H$2)</f>
        <v xml:space="preserve">                                      </v>
      </c>
      <c r="I21" s="3" t="s">
        <v>0</v>
      </c>
      <c r="J21" s="2" t="str">
        <f>TEXT(Sheet1!E18,"HH:MM")&amp;" "</f>
        <v xml:space="preserve">00:00 </v>
      </c>
      <c r="K21" s="3" t="s">
        <v>0</v>
      </c>
    </row>
    <row r="22" spans="1:11">
      <c r="A22" t="s">
        <v>0</v>
      </c>
      <c r="B22">
        <f>Sheet1!A19</f>
        <v>0</v>
      </c>
      <c r="C22" s="3" t="s">
        <v>0</v>
      </c>
      <c r="D22" t="str">
        <f>LEFTB(Sheet1!B19&amp;REPT(" ",$D$2),$D$2)</f>
        <v xml:space="preserve">                                     </v>
      </c>
      <c r="E22" s="3" t="s">
        <v>0</v>
      </c>
      <c r="F22" t="str">
        <f>" "&amp;LEFTB(Sheet1!C19&amp;REPT(" ",$F$2),$F$2)</f>
        <v xml:space="preserve">                                                                                                                                          </v>
      </c>
      <c r="G22" s="3" t="s">
        <v>0</v>
      </c>
      <c r="H22" t="str">
        <f>LEFTB(Sheet1!D19&amp;REPT(" ",$H$2),$H$2)</f>
        <v xml:space="preserve">                                      </v>
      </c>
      <c r="I22" s="3" t="s">
        <v>0</v>
      </c>
      <c r="J22" s="2" t="str">
        <f>TEXT(Sheet1!E19,"HH:MM")&amp;" "</f>
        <v xml:space="preserve">00:00 </v>
      </c>
      <c r="K22" s="3" t="s">
        <v>0</v>
      </c>
    </row>
    <row r="23" spans="1:11">
      <c r="A23" t="s">
        <v>0</v>
      </c>
      <c r="B23">
        <f>Sheet1!A20</f>
        <v>0</v>
      </c>
      <c r="C23" s="3" t="s">
        <v>0</v>
      </c>
      <c r="D23" t="str">
        <f>LEFTB(Sheet1!B20&amp;REPT(" ",$D$2),$D$2)</f>
        <v xml:space="preserve">                                     </v>
      </c>
      <c r="E23" s="3" t="s">
        <v>0</v>
      </c>
      <c r="F23" t="str">
        <f>" "&amp;LEFTB(Sheet1!C20&amp;REPT(" ",$F$2),$F$2)</f>
        <v xml:space="preserve">                                                                                                                                          </v>
      </c>
      <c r="G23" s="3" t="s">
        <v>0</v>
      </c>
      <c r="H23" t="str">
        <f>LEFTB(Sheet1!D20&amp;REPT(" ",$H$2),$H$2)</f>
        <v xml:space="preserve">                                      </v>
      </c>
      <c r="I23" s="3" t="s">
        <v>0</v>
      </c>
      <c r="J23" s="2" t="str">
        <f>TEXT(Sheet1!E20,"HH:MM")&amp;" "</f>
        <v xml:space="preserve">00:00 </v>
      </c>
      <c r="K23" s="3" t="s">
        <v>0</v>
      </c>
    </row>
    <row r="24" spans="1:11">
      <c r="A24" t="s">
        <v>0</v>
      </c>
      <c r="B24">
        <f>Sheet1!A21</f>
        <v>0</v>
      </c>
      <c r="C24" s="3" t="s">
        <v>0</v>
      </c>
      <c r="D24" t="str">
        <f>LEFTB(Sheet1!B21&amp;REPT(" ",$D$2),$D$2)</f>
        <v xml:space="preserve">                                     </v>
      </c>
      <c r="E24" s="3" t="s">
        <v>0</v>
      </c>
      <c r="F24" t="str">
        <f>" "&amp;LEFTB(Sheet1!C21&amp;REPT(" ",$F$2),$F$2)</f>
        <v xml:space="preserve">                                                                                                                                          </v>
      </c>
      <c r="G24" s="3" t="s">
        <v>0</v>
      </c>
      <c r="H24" t="str">
        <f>LEFTB(Sheet1!D21&amp;REPT(" ",$H$2),$H$2)</f>
        <v xml:space="preserve">                                      </v>
      </c>
      <c r="I24" s="3" t="s">
        <v>0</v>
      </c>
      <c r="J24" s="2" t="str">
        <f>TEXT(Sheet1!E21,"HH:MM")&amp;" "</f>
        <v xml:space="preserve">00:00 </v>
      </c>
      <c r="K24" s="3" t="s">
        <v>0</v>
      </c>
    </row>
    <row r="25" spans="1:11">
      <c r="A25" t="s">
        <v>0</v>
      </c>
      <c r="B25">
        <f>Sheet1!A22</f>
        <v>0</v>
      </c>
      <c r="C25" s="3" t="s">
        <v>0</v>
      </c>
      <c r="D25" t="str">
        <f>LEFTB(Sheet1!B22&amp;REPT(" ",$D$2),$D$2)</f>
        <v xml:space="preserve">                                     </v>
      </c>
      <c r="E25" s="3" t="s">
        <v>0</v>
      </c>
      <c r="F25" t="str">
        <f>" "&amp;LEFTB(Sheet1!C22&amp;REPT(" ",$F$2),$F$2)</f>
        <v xml:space="preserve">                                                                                                                                          </v>
      </c>
      <c r="G25" s="3" t="s">
        <v>0</v>
      </c>
      <c r="H25" t="str">
        <f>LEFTB(Sheet1!D22&amp;REPT(" ",$H$2),$H$2)</f>
        <v xml:space="preserve">                                      </v>
      </c>
      <c r="I25" s="3" t="s">
        <v>0</v>
      </c>
      <c r="J25" s="2" t="str">
        <f>TEXT(Sheet1!E22,"HH:MM")&amp;" "</f>
        <v xml:space="preserve">00:00 </v>
      </c>
      <c r="K25" s="3" t="s">
        <v>0</v>
      </c>
    </row>
    <row r="26" spans="1:11">
      <c r="A26" t="s">
        <v>0</v>
      </c>
      <c r="B26">
        <f>Sheet1!A23</f>
        <v>0</v>
      </c>
      <c r="C26" s="3" t="s">
        <v>0</v>
      </c>
      <c r="D26" t="str">
        <f>LEFTB(Sheet1!B23&amp;REPT(" ",$D$2),$D$2)</f>
        <v xml:space="preserve">                                     </v>
      </c>
      <c r="E26" s="3" t="s">
        <v>0</v>
      </c>
      <c r="F26" t="str">
        <f>" "&amp;LEFTB(Sheet1!C23&amp;REPT(" ",$F$2),$F$2)</f>
        <v xml:space="preserve">                                                                                                                                          </v>
      </c>
      <c r="G26" s="3" t="s">
        <v>0</v>
      </c>
      <c r="H26" t="str">
        <f>LEFTB(Sheet1!D23&amp;REPT(" ",$H$2),$H$2)</f>
        <v xml:space="preserve">                                      </v>
      </c>
      <c r="I26" s="3" t="s">
        <v>0</v>
      </c>
      <c r="J26" s="2" t="str">
        <f>TEXT(Sheet1!E23,"HH:MM")&amp;" "</f>
        <v xml:space="preserve">00:00 </v>
      </c>
      <c r="K26" s="3" t="s">
        <v>0</v>
      </c>
    </row>
    <row r="27" spans="1:11">
      <c r="A27" t="s">
        <v>0</v>
      </c>
      <c r="B27">
        <f>Sheet1!A24</f>
        <v>0</v>
      </c>
      <c r="C27" s="3" t="s">
        <v>0</v>
      </c>
      <c r="D27" t="str">
        <f>LEFTB(Sheet1!B24&amp;REPT(" ",$D$2),$D$2)</f>
        <v xml:space="preserve">                                     </v>
      </c>
      <c r="E27" s="3" t="s">
        <v>0</v>
      </c>
      <c r="F27" t="str">
        <f>" "&amp;LEFTB(Sheet1!C24&amp;REPT(" ",$F$2),$F$2)</f>
        <v xml:space="preserve">                                                                                                                                          </v>
      </c>
      <c r="G27" s="3" t="s">
        <v>0</v>
      </c>
      <c r="H27" t="str">
        <f>LEFTB(Sheet1!D24&amp;REPT(" ",$H$2),$H$2)</f>
        <v xml:space="preserve">                                      </v>
      </c>
      <c r="I27" s="3" t="s">
        <v>0</v>
      </c>
      <c r="J27" s="2" t="str">
        <f>TEXT(Sheet1!E24,"HH:MM")&amp;" "</f>
        <v xml:space="preserve">00:00 </v>
      </c>
      <c r="K27" s="3" t="s">
        <v>0</v>
      </c>
    </row>
    <row r="28" spans="1:11">
      <c r="A28" t="s">
        <v>0</v>
      </c>
      <c r="B28">
        <f>Sheet1!A25</f>
        <v>0</v>
      </c>
      <c r="C28" s="3" t="s">
        <v>0</v>
      </c>
      <c r="D28" t="str">
        <f>LEFTB(Sheet1!B25&amp;REPT(" ",$D$2),$D$2)</f>
        <v xml:space="preserve">                                     </v>
      </c>
      <c r="E28" s="3" t="s">
        <v>0</v>
      </c>
      <c r="F28" t="str">
        <f>" "&amp;LEFTB(Sheet1!C25&amp;REPT(" ",$F$2),$F$2)</f>
        <v xml:space="preserve">                                                                                                                                          </v>
      </c>
      <c r="G28" s="3" t="s">
        <v>0</v>
      </c>
      <c r="H28" t="str">
        <f>LEFTB(Sheet1!D25&amp;REPT(" ",$H$2),$H$2)</f>
        <v xml:space="preserve">                                      </v>
      </c>
      <c r="I28" s="3" t="s">
        <v>0</v>
      </c>
      <c r="J28" s="2" t="str">
        <f>TEXT(Sheet1!E25,"HH:MM")&amp;" "</f>
        <v xml:space="preserve">00:00 </v>
      </c>
      <c r="K28" s="3" t="s">
        <v>0</v>
      </c>
    </row>
    <row r="29" spans="1:11">
      <c r="A29" t="s">
        <v>0</v>
      </c>
      <c r="B29">
        <f>Sheet1!A26</f>
        <v>0</v>
      </c>
      <c r="C29" s="3" t="s">
        <v>0</v>
      </c>
      <c r="D29" t="str">
        <f>LEFTB(Sheet1!B26&amp;REPT(" ",$D$2),$D$2)</f>
        <v xml:space="preserve">                                     </v>
      </c>
      <c r="E29" s="3" t="s">
        <v>0</v>
      </c>
      <c r="F29" t="str">
        <f>" "&amp;LEFTB(Sheet1!C26&amp;REPT(" ",$F$2),$F$2)</f>
        <v xml:space="preserve">                                                                                                                                          </v>
      </c>
      <c r="G29" s="3" t="s">
        <v>0</v>
      </c>
      <c r="H29" t="str">
        <f>LEFTB(Sheet1!D26&amp;REPT(" ",$H$2),$H$2)</f>
        <v xml:space="preserve">                                      </v>
      </c>
      <c r="I29" s="3" t="s">
        <v>0</v>
      </c>
      <c r="J29" s="2" t="str">
        <f>TEXT(Sheet1!E26,"HH:MM")&amp;" "</f>
        <v xml:space="preserve">00:00 </v>
      </c>
      <c r="K29" s="3" t="s">
        <v>0</v>
      </c>
    </row>
    <row r="30" spans="1:11">
      <c r="A30" t="s">
        <v>0</v>
      </c>
      <c r="B30">
        <f>Sheet1!A27</f>
        <v>0</v>
      </c>
      <c r="C30" s="3" t="s">
        <v>0</v>
      </c>
      <c r="D30" t="str">
        <f>LEFTB(Sheet1!B27&amp;REPT(" ",$D$2),$D$2)</f>
        <v xml:space="preserve">                                     </v>
      </c>
      <c r="E30" s="3" t="s">
        <v>0</v>
      </c>
      <c r="F30" t="str">
        <f>" "&amp;LEFTB(Sheet1!C27&amp;REPT(" ",$F$2),$F$2)</f>
        <v xml:space="preserve">                                                                                                                                          </v>
      </c>
      <c r="G30" s="3" t="s">
        <v>0</v>
      </c>
      <c r="H30" t="str">
        <f>LEFTB(Sheet1!D27&amp;REPT(" ",$H$2),$H$2)</f>
        <v xml:space="preserve">                                      </v>
      </c>
      <c r="I30" s="3" t="s">
        <v>0</v>
      </c>
      <c r="J30" s="2" t="str">
        <f>TEXT(Sheet1!E27,"HH:MM")&amp;" "</f>
        <v xml:space="preserve">00:00 </v>
      </c>
      <c r="K30" s="3" t="s">
        <v>0</v>
      </c>
    </row>
  </sheetData>
  <phoneticPr fontId="1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D8D7D-544A-4A5E-AFEE-64355AC17704}">
  <dimension ref="A1:E12"/>
  <sheetViews>
    <sheetView workbookViewId="0">
      <selection sqref="A1:XFD1048576"/>
    </sheetView>
  </sheetViews>
  <sheetFormatPr defaultRowHeight="19.5"/>
  <cols>
    <col min="1" max="1" width="11" bestFit="1" customWidth="1"/>
    <col min="2" max="2" width="34.44140625" bestFit="1" customWidth="1"/>
    <col min="3" max="3" width="80.88671875" bestFit="1" customWidth="1"/>
    <col min="4" max="4" width="35.33203125" bestFit="1" customWidth="1"/>
    <col min="5" max="5" width="7.77734375" bestFit="1" customWidth="1"/>
  </cols>
  <sheetData>
    <row r="1" spans="1:5">
      <c r="A1" t="s">
        <v>7</v>
      </c>
      <c r="B1" t="s">
        <v>4</v>
      </c>
      <c r="C1" t="s">
        <v>3</v>
      </c>
      <c r="D1" t="s">
        <v>6</v>
      </c>
      <c r="E1" t="s">
        <v>5</v>
      </c>
    </row>
    <row r="2" spans="1:5">
      <c r="A2">
        <v>1</v>
      </c>
      <c r="B2" s="6" t="s">
        <v>8</v>
      </c>
      <c r="C2" s="6" t="s">
        <v>9</v>
      </c>
      <c r="D2" s="6" t="s">
        <v>10</v>
      </c>
      <c r="E2" s="5">
        <v>0.10486111111111111</v>
      </c>
    </row>
    <row r="3" spans="1:5">
      <c r="A3">
        <v>2</v>
      </c>
      <c r="B3" s="6" t="s">
        <v>11</v>
      </c>
      <c r="C3" s="6" t="s">
        <v>12</v>
      </c>
      <c r="D3" s="6" t="s">
        <v>10</v>
      </c>
      <c r="E3" s="5">
        <v>0.10902777777777778</v>
      </c>
    </row>
    <row r="4" spans="1:5">
      <c r="A4">
        <v>3</v>
      </c>
      <c r="B4" s="6" t="s">
        <v>13</v>
      </c>
      <c r="C4" s="6" t="s">
        <v>14</v>
      </c>
      <c r="D4" s="6" t="s">
        <v>10</v>
      </c>
      <c r="E4" s="5">
        <v>0.10625</v>
      </c>
    </row>
    <row r="5" spans="1:5">
      <c r="A5">
        <v>4</v>
      </c>
      <c r="B5" s="6" t="s">
        <v>15</v>
      </c>
      <c r="C5" s="6" t="s">
        <v>16</v>
      </c>
      <c r="D5" s="6" t="s">
        <v>17</v>
      </c>
      <c r="E5" s="5">
        <v>0.13472222222222222</v>
      </c>
    </row>
    <row r="6" spans="1:5">
      <c r="A6">
        <v>5</v>
      </c>
      <c r="B6" s="6" t="s">
        <v>18</v>
      </c>
      <c r="C6" s="6" t="s">
        <v>19</v>
      </c>
      <c r="D6" s="6" t="s">
        <v>10</v>
      </c>
      <c r="E6" s="5">
        <v>9.0277777777777776E-2</v>
      </c>
    </row>
    <row r="7" spans="1:5">
      <c r="A7">
        <v>6</v>
      </c>
      <c r="B7" s="6" t="s">
        <v>20</v>
      </c>
      <c r="C7" s="6" t="s">
        <v>21</v>
      </c>
      <c r="D7" s="6" t="s">
        <v>10</v>
      </c>
      <c r="E7" s="5">
        <v>0.10625</v>
      </c>
    </row>
    <row r="8" spans="1:5">
      <c r="A8">
        <v>7</v>
      </c>
      <c r="B8" s="6" t="s">
        <v>22</v>
      </c>
      <c r="C8" s="6" t="s">
        <v>23</v>
      </c>
      <c r="D8" s="6" t="s">
        <v>24</v>
      </c>
      <c r="E8" s="5">
        <v>0.16805555555555557</v>
      </c>
    </row>
    <row r="9" spans="1:5">
      <c r="A9">
        <v>8</v>
      </c>
      <c r="B9" s="6" t="s">
        <v>25</v>
      </c>
      <c r="C9" s="6" t="s">
        <v>26</v>
      </c>
      <c r="D9" s="6" t="s">
        <v>10</v>
      </c>
      <c r="E9" s="5">
        <v>0.11805555555555555</v>
      </c>
    </row>
    <row r="10" spans="1:5">
      <c r="A10">
        <v>9</v>
      </c>
      <c r="B10" s="6" t="s">
        <v>27</v>
      </c>
      <c r="C10" s="6" t="s">
        <v>28</v>
      </c>
      <c r="D10" s="6" t="s">
        <v>10</v>
      </c>
      <c r="E10" s="5">
        <v>0.11041666666666666</v>
      </c>
    </row>
    <row r="11" spans="1:5">
      <c r="A11">
        <v>10</v>
      </c>
      <c r="B11" s="6" t="s">
        <v>29</v>
      </c>
      <c r="C11" s="6" t="s">
        <v>30</v>
      </c>
      <c r="D11" s="6" t="s">
        <v>31</v>
      </c>
      <c r="E11" s="5">
        <v>0.1076388888888889</v>
      </c>
    </row>
    <row r="12" spans="1:5">
      <c r="A12">
        <v>11</v>
      </c>
      <c r="B12" s="6" t="s">
        <v>32</v>
      </c>
      <c r="C12" s="6" t="s">
        <v>33</v>
      </c>
      <c r="D12" s="6" t="s">
        <v>10</v>
      </c>
      <c r="E12" s="5">
        <v>0.10347222222222222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F0EDC-E40D-444E-B062-5CB3B088756E}">
  <dimension ref="B2:E12"/>
  <sheetViews>
    <sheetView workbookViewId="0">
      <selection sqref="A1:XFD1048576"/>
    </sheetView>
  </sheetViews>
  <sheetFormatPr defaultRowHeight="19.5"/>
  <cols>
    <col min="1" max="1" width="11" bestFit="1" customWidth="1"/>
    <col min="2" max="2" width="21.6640625" bestFit="1" customWidth="1"/>
    <col min="3" max="3" width="60.5546875" bestFit="1" customWidth="1"/>
    <col min="4" max="4" width="30.5546875" bestFit="1" customWidth="1"/>
    <col min="5" max="5" width="7.77734375" bestFit="1" customWidth="1"/>
  </cols>
  <sheetData>
    <row r="2" spans="2:5">
      <c r="B2" s="6"/>
      <c r="C2" s="6"/>
      <c r="D2" s="6"/>
      <c r="E2" s="5"/>
    </row>
    <row r="3" spans="2:5">
      <c r="B3" s="6"/>
      <c r="C3" s="6"/>
      <c r="D3" s="6"/>
      <c r="E3" s="5"/>
    </row>
    <row r="4" spans="2:5">
      <c r="B4" s="6"/>
      <c r="C4" s="6"/>
      <c r="D4" s="6"/>
      <c r="E4" s="5"/>
    </row>
    <row r="5" spans="2:5">
      <c r="B5" s="6"/>
      <c r="C5" s="6"/>
      <c r="D5" s="6"/>
      <c r="E5" s="5"/>
    </row>
    <row r="6" spans="2:5">
      <c r="B6" s="6"/>
      <c r="C6" s="6"/>
      <c r="D6" s="6"/>
      <c r="E6" s="5"/>
    </row>
    <row r="7" spans="2:5">
      <c r="B7" s="6"/>
      <c r="C7" s="6"/>
      <c r="D7" s="6"/>
      <c r="E7" s="5"/>
    </row>
    <row r="8" spans="2:5">
      <c r="B8" s="6"/>
      <c r="C8" s="6"/>
      <c r="D8" s="6"/>
      <c r="E8" s="5"/>
    </row>
    <row r="9" spans="2:5">
      <c r="B9" s="6"/>
      <c r="C9" s="6"/>
      <c r="D9" s="6"/>
      <c r="E9" s="5"/>
    </row>
    <row r="10" spans="2:5">
      <c r="B10" s="6"/>
      <c r="C10" s="6"/>
      <c r="D10" s="6"/>
      <c r="E10" s="5"/>
    </row>
    <row r="11" spans="2:5">
      <c r="B11" s="6"/>
      <c r="C11" s="6"/>
      <c r="D11" s="6"/>
      <c r="E11" s="5"/>
    </row>
    <row r="12" spans="2:5">
      <c r="B12" s="6"/>
      <c r="C12" s="6"/>
      <c r="D12" s="6"/>
      <c r="E12" s="5"/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2CA6F-897F-4EA1-82D3-A7BCA8B4A502}">
  <dimension ref="E2:E16"/>
  <sheetViews>
    <sheetView workbookViewId="0"/>
  </sheetViews>
  <sheetFormatPr defaultRowHeight="19.5"/>
  <cols>
    <col min="1" max="1" width="11" bestFit="1" customWidth="1"/>
    <col min="2" max="2" width="26" bestFit="1" customWidth="1"/>
    <col min="3" max="3" width="80.88671875" bestFit="1" customWidth="1"/>
    <col min="4" max="4" width="18.5546875" bestFit="1" customWidth="1"/>
    <col min="5" max="5" width="7.77734375" bestFit="1" customWidth="1"/>
  </cols>
  <sheetData>
    <row r="2" spans="5:5">
      <c r="E2" s="5"/>
    </row>
    <row r="3" spans="5:5">
      <c r="E3" s="5"/>
    </row>
    <row r="4" spans="5:5">
      <c r="E4" s="5"/>
    </row>
    <row r="5" spans="5:5">
      <c r="E5" s="5"/>
    </row>
    <row r="6" spans="5:5">
      <c r="E6" s="5"/>
    </row>
    <row r="7" spans="5:5">
      <c r="E7" s="5"/>
    </row>
    <row r="8" spans="5:5">
      <c r="E8" s="5"/>
    </row>
    <row r="9" spans="5:5">
      <c r="E9" s="5"/>
    </row>
    <row r="10" spans="5:5">
      <c r="E10" s="5"/>
    </row>
    <row r="11" spans="5:5">
      <c r="E11" s="5"/>
    </row>
    <row r="12" spans="5:5">
      <c r="E12" s="5"/>
    </row>
    <row r="13" spans="5:5">
      <c r="E13" s="5"/>
    </row>
    <row r="14" spans="5:5">
      <c r="E14" s="5"/>
    </row>
    <row r="15" spans="5:5">
      <c r="E15" s="5"/>
    </row>
    <row r="16" spans="5:5">
      <c r="E16" s="5"/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379FA-6626-46F9-9E49-9D40658629FD}">
  <dimension ref="E2:E13"/>
  <sheetViews>
    <sheetView workbookViewId="0"/>
  </sheetViews>
  <sheetFormatPr defaultRowHeight="19.5"/>
  <cols>
    <col min="1" max="1" width="6.21875" bestFit="1" customWidth="1"/>
    <col min="2" max="2" width="16" bestFit="1" customWidth="1"/>
    <col min="3" max="3" width="80.88671875" bestFit="1" customWidth="1"/>
    <col min="4" max="4" width="11.88671875" bestFit="1" customWidth="1"/>
    <col min="5" max="5" width="7.77734375" bestFit="1" customWidth="1"/>
  </cols>
  <sheetData>
    <row r="2" spans="5:5">
      <c r="E2" s="5"/>
    </row>
    <row r="3" spans="5:5">
      <c r="E3" s="5"/>
    </row>
    <row r="4" spans="5:5">
      <c r="E4" s="5"/>
    </row>
    <row r="5" spans="5:5">
      <c r="E5" s="5"/>
    </row>
    <row r="6" spans="5:5">
      <c r="E6" s="5"/>
    </row>
    <row r="7" spans="5:5">
      <c r="E7" s="5"/>
    </row>
    <row r="8" spans="5:5">
      <c r="E8" s="5"/>
    </row>
    <row r="9" spans="5:5">
      <c r="E9" s="5"/>
    </row>
    <row r="10" spans="5:5">
      <c r="E10" s="5"/>
    </row>
    <row r="11" spans="5:5">
      <c r="E11" s="5"/>
    </row>
    <row r="12" spans="5:5">
      <c r="E12" s="5"/>
    </row>
    <row r="13" spans="5:5">
      <c r="E13" s="5"/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5356AA-48A3-43B8-AC21-6CF0F69D27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Sheet1</vt:lpstr>
      <vt:lpstr>Sheet2</vt:lpstr>
      <vt:lpstr>Table 3 (69)</vt:lpstr>
      <vt:lpstr>Table 3 (67)</vt:lpstr>
      <vt:lpstr>Table 3 (65)</vt:lpstr>
      <vt:lpstr>Table 3 (63)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KAZUHIDE Yokoyama</dc:creator>
  <cp:lastModifiedBy>Yokoyama Kazuhide</cp:lastModifiedBy>
  <dcterms:created xsi:type="dcterms:W3CDTF">2020-06-01T02:07:32Z</dcterms:created>
  <dcterms:modified xsi:type="dcterms:W3CDTF">2024-04-30T12:04:55Z</dcterms:modified>
</cp:coreProperties>
</file>