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55B39C72-2258-4664-817E-4C9F05F4155E}" xr6:coauthVersionLast="47" xr6:coauthVersionMax="47" xr10:uidLastSave="{00000000-0000-0000-0000-000000000000}"/>
  <bookViews>
    <workbookView xWindow="915" yWindow="1170" windowWidth="23895" windowHeight="14310" activeTab="1" xr2:uid="{00000000-000D-0000-FFFF-FFFF00000000}"/>
  </bookViews>
  <sheets>
    <sheet name="Sheet1" sheetId="1" r:id="rId1"/>
    <sheet name="Sheet2" sheetId="2" r:id="rId2"/>
    <sheet name="テーブル 5 (59)" sheetId="69" r:id="rId3"/>
    <sheet name="テーブル 5 (57)" sheetId="68" r:id="rId4"/>
    <sheet name="テーブル 5 (55)" sheetId="67" r:id="rId5"/>
  </sheets>
  <definedNames>
    <definedName name="ExternalData_1" localSheetId="0" hidden="1">Sheet1!$A$1:$E$16</definedName>
    <definedName name="ExternalData_1" localSheetId="2" hidden="1">'テーブル 5 (59)'!$A$1:$E$16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37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38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<sst xmlns="http://schemas.openxmlformats.org/spreadsheetml/2006/main" count="270" uniqueCount="58">
  <si>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</si>
  <si>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</si>
  <si>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</si>
  <si>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</si>
  <si>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</si>
  <si>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</si>
  <si>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</si>
  <si>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</si>
  <si>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american dream</t>
  </si>
  <si>
    <t>Isaiah Brown / Billie Rae Calvin / Sterling White, Jr. / BK Rube</t>
  </si>
  <si>
    <t>21 Savage</t>
  </si>
  <si>
    <t>all of me</t>
  </si>
  <si>
    <t>Sheyaa Bin Abraham-Joseph / Jared Brown / Yakki Davis / Khaya Gilika /
                  Jalen Jackson / Sterling White, Jr. / Raphael Oliveira / Raphael Ramos</t>
  </si>
  <si>
    <t>redrum</t>
  </si>
  <si>
    <t>Sheyaa Bin Abraham-Joseph / London on Da Track</t>
  </si>
  <si>
    <t>n.h.i.e.</t>
  </si>
  <si>
    <t>Sheyaa Bin Abraham-Joseph / Amala Dlamini / Douglas Ford / JONAH / Kurtis
                  McKenzie / Nineteen85 / Michael Orabiyi / Jonah Stevens / Douglas Whitehead</t>
  </si>
  <si>
    <t>21 Savage　feat: Doja Cat</t>
  </si>
  <si>
    <t>sneaky</t>
  </si>
  <si>
    <t>Sheyaa Bin Abraham-Joseph / Edward Maclin Cooper III</t>
  </si>
  <si>
    <t>pop ur shit</t>
  </si>
  <si>
    <t>Sheyaa Bin Abraham-Joseph / Metro Boomin / Allen Ritter / Young Thug</t>
  </si>
  <si>
    <t>21 Savage feat: Metro Boomin / Young Thug</t>
  </si>
  <si>
    <t>letter to my brudda</t>
  </si>
  <si>
    <t>Sheyaa Bin Abraham-Joseph / Paola Barba / Park Min Geon / Kavi Lybarger
                  / Tyrese McGriff</t>
  </si>
  <si>
    <t>dangerous</t>
  </si>
  <si>
    <t>Sheyaa Bin Abraham-Joseph / Durk Banks / Metro Boomin / Jahshua Brown /
                  Jahmal Gwin</t>
  </si>
  <si>
    <t>21 Savage feat: Metro Boomin / Lil Durk</t>
  </si>
  <si>
    <t>n?e-nah</t>
  </si>
  <si>
    <t>Sheyaa Bin Abraham-Joseph / Metro Boomin / Douglas Ford / Jacques Webster
                  / Douglas Whitehead</t>
  </si>
  <si>
    <t>21 Savage feat: Metro Boomin / Travis Scott</t>
  </si>
  <si>
    <t>see the real</t>
  </si>
  <si>
    <t>Sheyaa Bin Abraham-Joseph / Smash David / Dez / Jocelyn Donald / Jordan
                  Holt-May / Joshua Parker / 10 Rock / Dez Wright</t>
  </si>
  <si>
    <t>prove it</t>
  </si>
  <si>
    <t>Sheyaa Bin Abraham-Joseph / Tye Beats / Isaiah Brown / Faith Evans / Edward
                  Maclin Cooper III / Tauren Stovall / Keith Thomas / Carl Thompson / Summer
                  Walker</t>
  </si>
  <si>
    <t>21 Savage feat: Summer Walker</t>
  </si>
  <si>
    <t>should've wore a bonnet</t>
  </si>
  <si>
    <t>Sheyaa Bin Abraham-Joseph / Cardo / Francis Esteban / Donald Grate / Joel
                  Hailey / Donald E. De Grate Jr. / John Julian / Johnny Juliano / David
                  Patino / Darryl Pearson / Christopher Wood</t>
  </si>
  <si>
    <t>21 Savage feat: Brent Faiyaz</t>
  </si>
  <si>
    <t>just like me</t>
  </si>
  <si>
    <t>Sheyaa Bin Abraham-Joseph / Isaac de Boni / Metro Boomin / Kevin Ekofo
                  / Jahmal Gwin / Akeel Henry / Kira Huszar / Khadijah Lopez / Jordon Manswell
                  / Michael Mule / Damini Ebunoluwa Ogulu / Nevon Sinclair</t>
  </si>
  <si>
    <t>21 Savage feat: Metro Boomin / Burna Boy</t>
  </si>
  <si>
    <t>red sky</t>
  </si>
  <si>
    <t>Sheyaa Bin Abraham-Joseph / Carlton Mays Jr.</t>
  </si>
  <si>
    <t>21 Savage feat: Tommy Newport / Mikky Ekko</t>
  </si>
  <si>
    <t>dark days</t>
  </si>
  <si>
    <t>Sheyaa Bin Abraham-Joseph / Ahmar Bailey / Atia Boggs / Mariah Buckles
                  / Yakki Davis / Jonas Lee / Kavi Lybarger / Yousef Sameh</t>
  </si>
  <si>
    <t>21 Savage feat: Mariah the Scientist</t>
  </si>
  <si>
    <t>Sheyaa Bin Abraham-Joseph / Jared Brown / Yakki Davis / Khaya Gilika /                  Jalen Jackson / Sterling White, Jr. / Raphael Oliveira / Raphael Ramos</t>
    <phoneticPr fontId="1"/>
  </si>
  <si>
    <t>Sheyaa Bin Abraham-Joseph / Amala Dlamini / Douglas Ford / JONAH / Kurtis                  McKenzie / Nineteen85 / Michael Orabiyi / Jonah Stevens / Douglas Whitehead</t>
    <phoneticPr fontId="1"/>
  </si>
  <si>
    <t>Sheyaa Bin Abraham-Joseph / Paola Barba / Park Min Geon / Kavi Lybarger                  / Tyrese McGriff</t>
    <phoneticPr fontId="1"/>
  </si>
  <si>
    <t>Sheyaa Bin Abraham-Joseph / Durk Banks / Metro Boomin / Jahshua Brown /                  Jahmal Gwin</t>
    <phoneticPr fontId="1"/>
  </si>
  <si>
    <t>Sheyaa Bin Abraham-Joseph / Metro Boomin / Douglas Ford / Jacques Webster                  / Douglas Whitehead</t>
    <phoneticPr fontId="1"/>
  </si>
  <si>
    <t>Sheyaa Bin Abraham-Joseph / Smash David / Dez / Jocelyn Donald / Jordan                  Holt-May / Joshua Parker / 10 Rock / Dez Wright</t>
    <phoneticPr fontId="1"/>
  </si>
  <si>
    <t>Sheyaa Bin Abraham-Joseph / Tye Beats / Isaiah Brown / Faith Evans / Edward                  Maclin Cooper III / Tauren Stovall / Keith Thomas / Carl Thompson / Summer                  Walker</t>
    <phoneticPr fontId="1"/>
  </si>
  <si>
    <t>Sheyaa Bin Abraham-Joseph / Cardo / Francis Esteban / Donald Grate / Joel                  Hailey / Donald E. De Grate Jr. / John Julian / Johnny Juliano / David                  Patino / Darryl Pearson / Christopher Wood</t>
    <phoneticPr fontId="1"/>
  </si>
  <si>
    <t>Sheyaa Bin Abraham-Joseph / Isaac de Boni / Metro Boomin / Kevin Ekofo                  / Jahmal Gwin / Akeel Henry / Kira Huszar / Khadijah Lopez / Jordon Manswell                  / Michael Mule / Damini Ebunoluwa Ogulu / Nevon Sinclair</t>
    <phoneticPr fontId="1"/>
  </si>
  <si>
    <t>Sheyaa Bin Abraham-Joseph / Ahmar Bailey / Atia Boggs / Mariah Buckles                  / Yakki Davis / Jonas Lee / Kavi Lybarger / Yousef Sameh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</si>
</sst>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0" borderId="0" xfId="0" applyNumberFormat="1" applyAlignment="1">
      <alignment vertical="center" wrapText="1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5" xr16:uid="{ED841D91-249B-4935-94E1-DD6CA0383209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3" xr16:uid="{012BF30A-03EB-4D3B-B75C-872A798A3EEB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6EAE25-97A6-46E5-A8B5-17957826DE42}" name="テーブル_5__593" displayName="テーブル_5__593" ref="A1:E16" tableType="queryTable" totalsRowShown="0">
  <autoFilter ref="A1:E16" xr:uid="{3C6EAE25-97A6-46E5-A8B5-17957826DE42}"/>
  <tableColumns count="5">
    <tableColumn id="1" xr3:uid="{DB049E48-6625-4C5D-B247-D495707D2B85}" uniqueName="1" name="Column1" queryTableFieldId="1"/>
    <tableColumn id="2" xr3:uid="{C06E87E3-021C-409A-AF73-189DE0153C67}" uniqueName="2" name="Title" queryTableFieldId="2" dataDxfId="3"/>
    <tableColumn id="3" xr3:uid="{05A5E415-DC9E-4F1E-8DF0-854699672CCC}" uniqueName="3" name="Composer" queryTableFieldId="3" dataDxfId="2"/>
    <tableColumn id="4" xr3:uid="{319E30E4-2769-4DC1-9075-267CA8E9F277}" uniqueName="4" name="Performer" queryTableFieldId="4" dataDxfId="1"/>
    <tableColumn id="5" xr3:uid="{B481172C-D399-482D-9076-EF6406CC4A65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A90297-035F-491A-B8E0-199375C085D8}" name="テーブル_5__59" displayName="テーブル_5__59" ref="A1:E16" tableType="queryTable" totalsRowShown="0">
  <autoFilter ref="A1:E16" xr:uid="{2AA90297-035F-491A-B8E0-199375C085D8}"/>
  <tableColumns count="5">
    <tableColumn id="1" xr3:uid="{5E290207-9FBC-4909-A1C4-B369A401497E}" uniqueName="1" name="Column1" queryTableFieldId="1"/>
    <tableColumn id="2" xr3:uid="{C86D54B2-D784-42A0-8D94-681036D9C981}" uniqueName="2" name="Title" queryTableFieldId="2" dataDxfId="7"/>
    <tableColumn id="3" xr3:uid="{73A635E8-FFA7-4CBA-871E-93158E4E0A89}" uniqueName="3" name="Composer" queryTableFieldId="3" dataDxfId="6"/>
    <tableColumn id="4" xr3:uid="{242AACC3-5A47-469C-80E6-A23F2EE5BBA3}" uniqueName="4" name="Performer" queryTableFieldId="4" dataDxfId="5"/>
    <tableColumn id="5" xr3:uid="{A9DEAC16-918A-499A-A35A-BE17763310CD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workbookViewId="0">
      <selection activeCell="C17" sqref="C17"/>
    </sheetView>
  </sheetViews>
  <sheetFormatPr defaultRowHeight="19.5"/>
  <cols>
    <col min="1" max="1" width="11" bestFit="1" customWidth="1"/>
    <col min="2" max="2" width="22.6640625" bestFit="1" customWidth="1"/>
    <col min="3" max="3" width="80.88671875" bestFit="1" customWidth="1"/>
    <col min="4" max="4" width="42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4.3749999999999997E-2</v>
      </c>
    </row>
    <row r="3" spans="1:5">
      <c r="A3">
        <v>2</v>
      </c>
      <c r="B3" s="6" t="s">
        <v>11</v>
      </c>
      <c r="C3" s="6" t="s">
        <v>48</v>
      </c>
      <c r="D3" s="6" t="s">
        <v>10</v>
      </c>
      <c r="E3" s="5">
        <v>0.13750000000000001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0.1875</v>
      </c>
    </row>
    <row r="5" spans="1:5">
      <c r="A5">
        <v>4</v>
      </c>
      <c r="B5" s="6" t="s">
        <v>15</v>
      </c>
      <c r="C5" s="6" t="s">
        <v>49</v>
      </c>
      <c r="D5" s="6" t="s">
        <v>17</v>
      </c>
      <c r="E5" s="5">
        <v>9.930555555555555E-2</v>
      </c>
    </row>
    <row r="6" spans="1:5">
      <c r="A6">
        <v>5</v>
      </c>
      <c r="B6" s="6" t="s">
        <v>18</v>
      </c>
      <c r="C6" s="6" t="s">
        <v>19</v>
      </c>
      <c r="D6" s="6" t="s">
        <v>10</v>
      </c>
      <c r="E6" s="5">
        <v>0.13958333333333334</v>
      </c>
    </row>
    <row r="7" spans="1:5">
      <c r="A7">
        <v>6</v>
      </c>
      <c r="B7" s="6" t="s">
        <v>20</v>
      </c>
      <c r="C7" s="6" t="s">
        <v>21</v>
      </c>
      <c r="D7" s="6" t="s">
        <v>22</v>
      </c>
      <c r="E7" s="5">
        <v>0.13402777777777777</v>
      </c>
    </row>
    <row r="8" spans="1:5">
      <c r="A8">
        <v>7</v>
      </c>
      <c r="B8" s="6" t="s">
        <v>23</v>
      </c>
      <c r="C8" s="6" t="s">
        <v>50</v>
      </c>
      <c r="D8" s="6" t="s">
        <v>10</v>
      </c>
      <c r="E8" s="5">
        <v>0.11041666666666666</v>
      </c>
    </row>
    <row r="9" spans="1:5">
      <c r="A9">
        <v>8</v>
      </c>
      <c r="B9" s="6" t="s">
        <v>25</v>
      </c>
      <c r="C9" s="6" t="s">
        <v>51</v>
      </c>
      <c r="D9" s="6" t="s">
        <v>27</v>
      </c>
      <c r="E9" s="5">
        <v>0.18402777777777779</v>
      </c>
    </row>
    <row r="10" spans="1:5">
      <c r="A10">
        <v>9</v>
      </c>
      <c r="B10" s="6" t="s">
        <v>28</v>
      </c>
      <c r="C10" s="6" t="s">
        <v>52</v>
      </c>
      <c r="D10" s="6" t="s">
        <v>30</v>
      </c>
      <c r="E10" s="5">
        <v>0.15277777777777779</v>
      </c>
    </row>
    <row r="11" spans="1:5">
      <c r="A11">
        <v>10</v>
      </c>
      <c r="B11" s="6" t="s">
        <v>31</v>
      </c>
      <c r="C11" s="6" t="s">
        <v>53</v>
      </c>
      <c r="D11" s="6" t="s">
        <v>10</v>
      </c>
      <c r="E11" s="5">
        <v>0.12638888888888888</v>
      </c>
    </row>
    <row r="12" spans="1:5" ht="58.5">
      <c r="A12">
        <v>11</v>
      </c>
      <c r="B12" s="6" t="s">
        <v>33</v>
      </c>
      <c r="C12" s="7" t="s">
        <v>54</v>
      </c>
      <c r="D12" s="6" t="s">
        <v>35</v>
      </c>
      <c r="E12" s="5">
        <v>0.14374999999999999</v>
      </c>
    </row>
    <row r="13" spans="1:5" ht="58.5">
      <c r="A13">
        <v>12</v>
      </c>
      <c r="B13" s="6" t="s">
        <v>36</v>
      </c>
      <c r="C13" s="7" t="s">
        <v>55</v>
      </c>
      <c r="D13" s="6" t="s">
        <v>38</v>
      </c>
      <c r="E13" s="5">
        <v>0.12916666666666668</v>
      </c>
    </row>
    <row r="14" spans="1:5" ht="58.5">
      <c r="A14">
        <v>13</v>
      </c>
      <c r="B14" s="6" t="s">
        <v>39</v>
      </c>
      <c r="C14" s="7" t="s">
        <v>56</v>
      </c>
      <c r="D14" s="6" t="s">
        <v>41</v>
      </c>
      <c r="E14" s="5">
        <v>0.16041666666666668</v>
      </c>
    </row>
    <row r="15" spans="1:5">
      <c r="A15">
        <v>14</v>
      </c>
      <c r="B15" s="6" t="s">
        <v>42</v>
      </c>
      <c r="C15" s="6" t="s">
        <v>43</v>
      </c>
      <c r="D15" s="6" t="s">
        <v>44</v>
      </c>
      <c r="E15" s="5">
        <v>0.12222222222222222</v>
      </c>
    </row>
    <row r="16" spans="1:5">
      <c r="A16">
        <v>15</v>
      </c>
      <c r="B16" s="6" t="s">
        <v>45</v>
      </c>
      <c r="C16" s="6" t="s">
        <v>57</v>
      </c>
      <c r="D16" s="6" t="s">
        <v>47</v>
      </c>
      <c r="E16" s="5">
        <v>0.2048611111111111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19" sqref="A3:K19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23</v>
      </c>
      <c r="F2" s="1">
        <f t="array" ref="F2">MAX(LENB(Sheet1!C1:'Sheet1'!C30))</f>
        <v>238</v>
      </c>
      <c r="H2" s="1">
        <f t="array" ref="H2">MAX(LENB(Sheet1!D1:'Sheet1'!D30))</f>
        <v>43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american dream         </v>
      </c>
      <c r="E5" s="3" t="s">
        <v>0</v>
      </c>
      <c r="F5" t="str">
        <f>" "&amp;LEFTB(Sheet1!C2&amp;REPT(" ",$F$2),$F$2)</f>
        <v xml:space="preserve"> Isaiah Brown / Billie Rae Calvin / Sterling White, Jr. / BK Rube                                                                                                                                                                              </v>
      </c>
      <c r="G5" s="3" t="s">
        <v>0</v>
      </c>
      <c r="H5" t="str">
        <f>LEFTB(Sheet1!D2&amp;REPT(" ",$H$2),$H$2)</f>
        <v xml:space="preserve">21 Savage                                  </v>
      </c>
      <c r="I5" s="3" t="s">
        <v>0</v>
      </c>
      <c r="J5" s="2" t="str">
        <f>TEXT(Sheet1!E2,"HH:MM")&amp;" "</f>
        <v xml:space="preserve">01:03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all of me              </v>
      </c>
      <c r="E6" s="3" t="s">
        <v>0</v>
      </c>
      <c r="F6" t="str">
        <f>" "&amp;LEFTB(Sheet1!C3&amp;REPT(" ",$F$2),$F$2)</f>
        <v xml:space="preserve"> Sheyaa Bin Abraham-Joseph / Jared Brown / Yakki Davis / Khaya Gilika /                  Jalen Jackson / Sterling White, Jr. / Raphael Oliveira / Raphael Ramos                                                                                </v>
      </c>
      <c r="G6" s="3" t="s">
        <v>0</v>
      </c>
      <c r="H6" t="str">
        <f>LEFTB(Sheet1!D3&amp;REPT(" ",$H$2),$H$2)</f>
        <v xml:space="preserve">21 Savage                                  </v>
      </c>
      <c r="I6" s="3" t="s">
        <v>0</v>
      </c>
      <c r="J6" s="2" t="str">
        <f>TEXT(Sheet1!E3,"HH:MM")&amp;" "</f>
        <v xml:space="preserve">03:18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redrum                 </v>
      </c>
      <c r="E7" s="3" t="s">
        <v>0</v>
      </c>
      <c r="F7" t="str">
        <f>" "&amp;LEFTB(Sheet1!C4&amp;REPT(" ",$F$2),$F$2)</f>
        <v xml:space="preserve"> Sheyaa Bin Abraham-Joseph / London on Da Track                                                                                                                                                                                                </v>
      </c>
      <c r="G7" s="3" t="s">
        <v>0</v>
      </c>
      <c r="H7" t="str">
        <f>LEFTB(Sheet1!D4&amp;REPT(" ",$H$2),$H$2)</f>
        <v xml:space="preserve">21 Savage                                  </v>
      </c>
      <c r="I7" s="3" t="s">
        <v>0</v>
      </c>
      <c r="J7" s="2" t="str">
        <f>TEXT(Sheet1!E4,"HH:MM")&amp;" "</f>
        <v xml:space="preserve">04:30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n.h.i.e.               </v>
      </c>
      <c r="E8" s="3" t="s">
        <v>0</v>
      </c>
      <c r="F8" t="str">
        <f>" "&amp;LEFTB(Sheet1!C5&amp;REPT(" ",$F$2),$F$2)</f>
        <v xml:space="preserve"> Sheyaa Bin Abraham-Joseph / Amala Dlamini / Douglas Ford / JONAH / Kurtis                  McKenzie / Nineteen85 / Michael Orabiyi / Jonah Stevens / Douglas Whitehead                                                                        </v>
      </c>
      <c r="G8" s="3" t="s">
        <v>0</v>
      </c>
      <c r="H8" t="str">
        <f>LEFTB(Sheet1!D5&amp;REPT(" ",$H$2),$H$2)</f>
        <v xml:space="preserve">21 Savage　feat: Doja Cat                  </v>
      </c>
      <c r="I8" s="3" t="s">
        <v>0</v>
      </c>
      <c r="J8" s="2" t="str">
        <f>TEXT(Sheet1!E5,"HH:MM")&amp;" "</f>
        <v xml:space="preserve">02:23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sneaky                 </v>
      </c>
      <c r="E9" s="3" t="s">
        <v>0</v>
      </c>
      <c r="F9" t="str">
        <f>" "&amp;LEFTB(Sheet1!C6&amp;REPT(" ",$F$2),$F$2)</f>
        <v xml:space="preserve"> Sheyaa Bin Abraham-Joseph / Edward Maclin Cooper III                                                                                                                                                                                          </v>
      </c>
      <c r="G9" s="3" t="s">
        <v>0</v>
      </c>
      <c r="H9" t="str">
        <f>LEFTB(Sheet1!D6&amp;REPT(" ",$H$2),$H$2)</f>
        <v xml:space="preserve">21 Savage                                  </v>
      </c>
      <c r="I9" s="3" t="s">
        <v>0</v>
      </c>
      <c r="J9" s="2" t="str">
        <f>TEXT(Sheet1!E6,"HH:MM")&amp;" "</f>
        <v xml:space="preserve">03:21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pop ur shit            </v>
      </c>
      <c r="E10" s="3" t="s">
        <v>0</v>
      </c>
      <c r="F10" t="str">
        <f>" "&amp;LEFTB(Sheet1!C7&amp;REPT(" ",$F$2),$F$2)</f>
        <v xml:space="preserve"> Sheyaa Bin Abraham-Joseph / Metro Boomin / Allen Ritter / Young Thug                                                                                                                                                                          </v>
      </c>
      <c r="G10" s="3" t="s">
        <v>0</v>
      </c>
      <c r="H10" t="str">
        <f>LEFTB(Sheet1!D7&amp;REPT(" ",$H$2),$H$2)</f>
        <v xml:space="preserve">21 Savage feat: Metro Boomin / Young Thug  </v>
      </c>
      <c r="I10" s="3" t="s">
        <v>0</v>
      </c>
      <c r="J10" s="2" t="str">
        <f>TEXT(Sheet1!E7,"HH:MM")&amp;" "</f>
        <v xml:space="preserve">03:13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letter to my brudda    </v>
      </c>
      <c r="E11" s="3" t="s">
        <v>0</v>
      </c>
      <c r="F11" t="str">
        <f>" "&amp;LEFTB(Sheet1!C8&amp;REPT(" ",$F$2),$F$2)</f>
        <v xml:space="preserve"> Sheyaa Bin Abraham-Joseph / Paola Barba / Park Min Geon / Kavi Lybarger                  / Tyrese McGriff                                         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21 Savage                                  </v>
      </c>
      <c r="I11" s="3" t="s">
        <v>0</v>
      </c>
      <c r="J11" s="2" t="str">
        <f>TEXT(Sheet1!E8,"HH:MM")&amp;" "</f>
        <v xml:space="preserve">02:39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dangerous              </v>
      </c>
      <c r="E12" s="3" t="s">
        <v>0</v>
      </c>
      <c r="F12" t="str">
        <f>" "&amp;LEFTB(Sheet1!C9&amp;REPT(" ",$F$2),$F$2)</f>
        <v xml:space="preserve"> Sheyaa Bin Abraham-Joseph / Durk Banks / Metro Boomin / Jahshua Brown /                  Jahmal Gwin                                                                                                                                          </v>
      </c>
      <c r="G12" s="3" t="s">
        <v>0</v>
      </c>
      <c r="H12" t="str">
        <f>LEFTB(Sheet1!D9&amp;REPT(" ",$H$2),$H$2)</f>
        <v xml:space="preserve">21 Savage feat: Metro Boomin / Lil Durk    </v>
      </c>
      <c r="I12" s="3" t="s">
        <v>0</v>
      </c>
      <c r="J12" s="2" t="str">
        <f>TEXT(Sheet1!E9,"HH:MM")&amp;" "</f>
        <v xml:space="preserve">04:25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n?e-nah                </v>
      </c>
      <c r="E13" s="3" t="s">
        <v>0</v>
      </c>
      <c r="F13" t="str">
        <f>" "&amp;LEFTB(Sheet1!C10&amp;REPT(" ",$F$2),$F$2)</f>
        <v xml:space="preserve"> Sheyaa Bin Abraham-Joseph / Metro Boomin / Douglas Ford / Jacques Webster                  / Douglas Whitehead                                                                                                                                </v>
      </c>
      <c r="G13" s="3" t="s">
        <v>0</v>
      </c>
      <c r="H13" t="str">
        <f>LEFTB(Sheet1!D10&amp;REPT(" ",$H$2),$H$2)</f>
        <v>21 Savage feat: Metro Boomin / Travis Scott</v>
      </c>
      <c r="I13" s="3" t="s">
        <v>0</v>
      </c>
      <c r="J13" s="2" t="str">
        <f>TEXT(Sheet1!E10,"HH:MM")&amp;" "</f>
        <v xml:space="preserve">03:40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see the real           </v>
      </c>
      <c r="E14" s="3" t="s">
        <v>0</v>
      </c>
      <c r="F14" t="str">
        <f>" "&amp;LEFTB(Sheet1!C11&amp;REPT(" ",$F$2),$F$2)</f>
        <v xml:space="preserve"> Sheyaa Bin Abraham-Joseph / Smash David / Dez / Jocelyn Donald / Jordan                  Holt-May / Joshua Parker / 10 Rock / Dez Wright        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21 Savage                                  </v>
      </c>
      <c r="I14" s="3" t="s">
        <v>0</v>
      </c>
      <c r="J14" s="2" t="str">
        <f>TEXT(Sheet1!E11,"HH:MM")&amp;" "</f>
        <v xml:space="preserve">03:02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prove it               </v>
      </c>
      <c r="E15" s="3" t="s">
        <v>0</v>
      </c>
      <c r="F15" t="str">
        <f>" "&amp;LEFTB(Sheet1!C12&amp;REPT(" ",$F$2),$F$2)</f>
        <v xml:space="preserve"> Sheyaa Bin Abraham-Joseph / Tye Beats / Isaiah Brown / Faith Evans / Edward                  Maclin Cooper III / Tauren Stovall / Keith Thomas / Carl Thompson / Summer                  Walker                                               </v>
      </c>
      <c r="G15" s="3" t="s">
        <v>0</v>
      </c>
      <c r="H15" t="str">
        <f>LEFTB(Sheet1!D12&amp;REPT(" ",$H$2),$H$2)</f>
        <v xml:space="preserve">21 Savage feat: Summer Walker              </v>
      </c>
      <c r="I15" s="3" t="s">
        <v>0</v>
      </c>
      <c r="J15" s="2" t="str">
        <f>TEXT(Sheet1!E12,"HH:MM")&amp;" "</f>
        <v xml:space="preserve">03:27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>should've wore a bonnet</v>
      </c>
      <c r="E16" s="3" t="s">
        <v>0</v>
      </c>
      <c r="F16" t="str">
        <f>" "&amp;LEFTB(Sheet1!C13&amp;REPT(" ",$F$2),$F$2)</f>
        <v xml:space="preserve"> Sheyaa Bin Abraham-Joseph / Cardo / Francis Esteban / Donald Grate / Joel                  Hailey / Donald E. De Grate Jr. / John Julian / Johnny Juliano / David                  Patino / Darryl Pearson / Christopher Wood                 </v>
      </c>
      <c r="G16" s="3" t="s">
        <v>0</v>
      </c>
      <c r="H16" t="str">
        <f>LEFTB(Sheet1!D13&amp;REPT(" ",$H$2),$H$2)</f>
        <v xml:space="preserve">21 Savage feat: Brent Faiyaz               </v>
      </c>
      <c r="I16" s="3" t="s">
        <v>0</v>
      </c>
      <c r="J16" s="2" t="str">
        <f>TEXT(Sheet1!E13,"HH:MM")&amp;" "</f>
        <v xml:space="preserve">03:06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just like me           </v>
      </c>
      <c r="E17" s="3" t="s">
        <v>0</v>
      </c>
      <c r="F17" t="str">
        <f>" "&amp;LEFTB(Sheet1!C14&amp;REPT(" ",$F$2),$F$2)</f>
        <v xml:space="preserve"> Sheyaa Bin Abraham-Joseph / Isaac de Boni / Metro Boomin / Kevin Ekofo                  / Jahmal Gwin / Akeel Henry / Kira Huszar / Khadijah Lopez / Jordon Manswell                  / Michael Mule / Damini Ebunoluwa Ogulu / Nevon Sinclair</v>
      </c>
      <c r="G17" s="3" t="s">
        <v>0</v>
      </c>
      <c r="H17" t="str">
        <f>LEFTB(Sheet1!D14&amp;REPT(" ",$H$2),$H$2)</f>
        <v xml:space="preserve">21 Savage feat: Metro Boomin / Burna Boy   </v>
      </c>
      <c r="I17" s="3" t="s">
        <v>0</v>
      </c>
      <c r="J17" s="2" t="str">
        <f>TEXT(Sheet1!E14,"HH:MM")&amp;" "</f>
        <v xml:space="preserve">03:51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red sky                </v>
      </c>
      <c r="E18" s="3" t="s">
        <v>0</v>
      </c>
      <c r="F18" t="str">
        <f>" "&amp;LEFTB(Sheet1!C15&amp;REPT(" ",$F$2),$F$2)</f>
        <v xml:space="preserve"> Sheyaa Bin Abraham-Joseph / Carlton Mays Jr.                                                               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21 Savage feat: Tommy Newport / Mikky Ekko </v>
      </c>
      <c r="I18" s="3" t="s">
        <v>0</v>
      </c>
      <c r="J18" s="2" t="str">
        <f>TEXT(Sheet1!E15,"HH:MM")&amp;" "</f>
        <v xml:space="preserve">02:56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dark days              </v>
      </c>
      <c r="E19" s="3" t="s">
        <v>0</v>
      </c>
      <c r="F19" t="str">
        <f>" "&amp;LEFTB(Sheet1!C16&amp;REPT(" ",$F$2),$F$2)</f>
        <v xml:space="preserve"> Sheyaa Bin Abraham-Joseph / Ahmar Bailey / Atia Boggs / Mariah Buckles                  / Yakki Davis / Jonas Lee / Kavi Lybarger / Yousef Sameh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21 Savage feat: Mariah the Scientist       </v>
      </c>
      <c r="I19" s="3" t="s">
        <v>0</v>
      </c>
      <c r="J19" s="2" t="str">
        <f>TEXT(Sheet1!E16,"HH:MM")&amp;" "</f>
        <v xml:space="preserve">04:55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3355E-D276-4B79-B99A-833F0CE66D6B}">
  <dimension ref="A1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2.6640625" bestFit="1" customWidth="1"/>
    <col min="3" max="3" width="80.88671875" bestFit="1" customWidth="1"/>
    <col min="4" max="4" width="42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4.3749999999999997E-2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0.13750000000000001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0.1875</v>
      </c>
    </row>
    <row r="5" spans="1:5">
      <c r="A5">
        <v>4</v>
      </c>
      <c r="B5" s="6" t="s">
        <v>15</v>
      </c>
      <c r="C5" s="6" t="s">
        <v>16</v>
      </c>
      <c r="D5" s="6" t="s">
        <v>17</v>
      </c>
      <c r="E5" s="5">
        <v>9.930555555555555E-2</v>
      </c>
    </row>
    <row r="6" spans="1:5">
      <c r="A6">
        <v>5</v>
      </c>
      <c r="B6" s="6" t="s">
        <v>18</v>
      </c>
      <c r="C6" s="6" t="s">
        <v>19</v>
      </c>
      <c r="D6" s="6" t="s">
        <v>10</v>
      </c>
      <c r="E6" s="5">
        <v>0.13958333333333334</v>
      </c>
    </row>
    <row r="7" spans="1:5">
      <c r="A7">
        <v>6</v>
      </c>
      <c r="B7" s="6" t="s">
        <v>20</v>
      </c>
      <c r="C7" s="6" t="s">
        <v>21</v>
      </c>
      <c r="D7" s="6" t="s">
        <v>22</v>
      </c>
      <c r="E7" s="5">
        <v>0.13402777777777777</v>
      </c>
    </row>
    <row r="8" spans="1:5">
      <c r="A8">
        <v>7</v>
      </c>
      <c r="B8" s="6" t="s">
        <v>23</v>
      </c>
      <c r="C8" s="6" t="s">
        <v>24</v>
      </c>
      <c r="D8" s="6" t="s">
        <v>10</v>
      </c>
      <c r="E8" s="5">
        <v>0.11041666666666666</v>
      </c>
    </row>
    <row r="9" spans="1:5">
      <c r="A9">
        <v>8</v>
      </c>
      <c r="B9" s="6" t="s">
        <v>25</v>
      </c>
      <c r="C9" s="6" t="s">
        <v>26</v>
      </c>
      <c r="D9" s="6" t="s">
        <v>27</v>
      </c>
      <c r="E9" s="5">
        <v>0.18402777777777779</v>
      </c>
    </row>
    <row r="10" spans="1:5">
      <c r="A10">
        <v>9</v>
      </c>
      <c r="B10" s="6" t="s">
        <v>28</v>
      </c>
      <c r="C10" s="6" t="s">
        <v>29</v>
      </c>
      <c r="D10" s="6" t="s">
        <v>30</v>
      </c>
      <c r="E10" s="5">
        <v>0.15277777777777779</v>
      </c>
    </row>
    <row r="11" spans="1:5">
      <c r="A11">
        <v>10</v>
      </c>
      <c r="B11" s="6" t="s">
        <v>31</v>
      </c>
      <c r="C11" s="6" t="s">
        <v>32</v>
      </c>
      <c r="D11" s="6" t="s">
        <v>10</v>
      </c>
      <c r="E11" s="5">
        <v>0.12638888888888888</v>
      </c>
    </row>
    <row r="12" spans="1:5">
      <c r="A12">
        <v>11</v>
      </c>
      <c r="B12" s="6" t="s">
        <v>33</v>
      </c>
      <c r="C12" s="6" t="s">
        <v>34</v>
      </c>
      <c r="D12" s="6" t="s">
        <v>35</v>
      </c>
      <c r="E12" s="5">
        <v>0.14374999999999999</v>
      </c>
    </row>
    <row r="13" spans="1:5">
      <c r="A13">
        <v>12</v>
      </c>
      <c r="B13" s="6" t="s">
        <v>36</v>
      </c>
      <c r="C13" s="6" t="s">
        <v>37</v>
      </c>
      <c r="D13" s="6" t="s">
        <v>38</v>
      </c>
      <c r="E13" s="5">
        <v>0.12916666666666668</v>
      </c>
    </row>
    <row r="14" spans="1:5">
      <c r="A14">
        <v>13</v>
      </c>
      <c r="B14" s="6" t="s">
        <v>39</v>
      </c>
      <c r="C14" s="6" t="s">
        <v>40</v>
      </c>
      <c r="D14" s="6" t="s">
        <v>41</v>
      </c>
      <c r="E14" s="5">
        <v>0.16041666666666668</v>
      </c>
    </row>
    <row r="15" spans="1:5">
      <c r="A15">
        <v>14</v>
      </c>
      <c r="B15" s="6" t="s">
        <v>42</v>
      </c>
      <c r="C15" s="6" t="s">
        <v>43</v>
      </c>
      <c r="D15" s="6" t="s">
        <v>44</v>
      </c>
      <c r="E15" s="5">
        <v>0.12222222222222222</v>
      </c>
    </row>
    <row r="16" spans="1:5">
      <c r="A16">
        <v>15</v>
      </c>
      <c r="B16" s="6" t="s">
        <v>45</v>
      </c>
      <c r="C16" s="6" t="s">
        <v>46</v>
      </c>
      <c r="D16" s="6" t="s">
        <v>47</v>
      </c>
      <c r="E16" s="5">
        <v>0.2048611111111111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DD965-F8D6-47DC-890D-0CC058E1C4A0}">
  <dimension ref="E2:E15"/>
  <sheetViews>
    <sheetView workbookViewId="0">
      <selection activeCell="B12" sqref="B12"/>
    </sheetView>
  </sheetViews>
  <sheetFormatPr defaultRowHeight="19.5"/>
  <cols>
    <col min="1" max="1" width="6.21875" bestFit="1" customWidth="1"/>
    <col min="2" max="2" width="21.77734375" bestFit="1" customWidth="1"/>
    <col min="3" max="3" width="80.88671875" bestFit="1" customWidth="1"/>
    <col min="4" max="4" width="34.4414062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27C68-2185-4F7D-83AD-774B6B28271B}">
  <dimension ref="E2:E15"/>
  <sheetViews>
    <sheetView workbookViewId="0"/>
  </sheetViews>
  <sheetFormatPr defaultRowHeight="19.5"/>
  <cols>
    <col min="1" max="1" width="11" bestFit="1" customWidth="1"/>
    <col min="2" max="2" width="21.33203125" bestFit="1" customWidth="1"/>
    <col min="3" max="3" width="80.88671875" bestFit="1" customWidth="1"/>
    <col min="4" max="4" width="48.5546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(59)</vt:lpstr>
      <vt:lpstr>テーブル 5 (57)</vt:lpstr>
      <vt:lpstr>テーブル 5 (55)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2025-05-19T11:20:50Z</dcterms:modified>
</cp:coreProperties>
</file>