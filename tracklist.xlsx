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8_{0698210F-9A22-4F84-B05B-4AFE1AE78352}" xr6:coauthVersionLast="47" xr6:coauthVersionMax="47" xr10:uidLastSave="{00000000-0000-0000-0000-000000000000}"/>
  <bookViews>
    <workbookView xWindow="4788" yWindow="8184" windowWidth="22104" windowHeight="16824" activeTab="1" xr2:uid="{00000000-000D-0000-FFFF-FFFF00000000}"/>
  </bookViews>
  <sheets>
    <sheet name="Sheet1" sheetId="1" r:id="rId1"/>
    <sheet name="Sheet2" sheetId="2" r:id="rId2"/>
    <sheet name="テーブル 5 (73)" sheetId="76" r:id="rId3"/>
    <sheet name="テーブル 5 (71)" sheetId="75" r:id="rId4"/>
    <sheet name="テーブル 5 (67)" sheetId="73" r:id="rId5"/>
  </sheets>
  <definedNames>
    <definedName name="ExternalData_1" localSheetId="2" hidden="1">'テーブル 5 (73)'!$A$1:$E$12</definedName>
    <definedName name="ExternalData_2" localSheetId="0" hidden="1">Sheet1!$A$1:$E$12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<sst xmlns="http://schemas.openxmlformats.org/spreadsheetml/2006/main" count="246" uniqueCount="31">
  <si>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</si>
  <si>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</si>
  <si>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</si>
  <si>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</si>
  <si>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</si>
  <si>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</si>
  <si>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</si>
  <si>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</si>
  <si>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Watch My Hands</t>
  </si>
  <si>
    <t>McKinley Dixon / Sam E. Yamaha</t>
  </si>
  <si>
    <t>McKinley Dixon</t>
  </si>
  <si>
    <t>Sugar Water</t>
  </si>
  <si>
    <t>Anjimile / Quelle Chris / McKinley Dixon / Sam E. Yamaha</t>
  </si>
  <si>
    <t>McKinley Dixon feat. Quelle Chris, Anjimile</t>
  </si>
  <si>
    <t>A Crooked Stick</t>
  </si>
  <si>
    <t>Alfred / McKinley Dixon / Ghais Guevara / Sam E. Yamaha</t>
  </si>
  <si>
    <t>McKinley Dixon feat. Ghais Guevara, Alfred</t>
  </si>
  <si>
    <t>Recitatif</t>
  </si>
  <si>
    <t>Teller Banks / McKinley Dixon / Sam E. Yamaha</t>
  </si>
  <si>
    <t>McKinley Dixon feat. Teller Bank$</t>
  </si>
  <si>
    <t>Run, Run, Run, Pt. II</t>
  </si>
  <si>
    <t>We’re Outside, Rejoice!</t>
  </si>
  <si>
    <t>All the Loved Ones (What Would We Do???)</t>
  </si>
  <si>
    <t>McKinley Dixon / ICECOLDBISHOP / Sam E. Yamaha</t>
  </si>
  <si>
    <t>McKinley Dixon feat. ICECOLDBISHOP, Pink Shifu</t>
  </si>
  <si>
    <t>F.F.O.L</t>
  </si>
  <si>
    <t>Listen Gentle</t>
  </si>
  <si>
    <t>Magic, Alive!</t>
  </si>
  <si>
    <t>Could've Been Different</t>
  </si>
  <si>
    <t>Blu / McKinley Dixon / Sam E. Yamaha</t>
  </si>
  <si>
    <t>McKinley Dixon feat. Blu, Shamir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</si>
</sst>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0" xr16:uid="{C9B90E53-0672-449B-9B85-BB03EB3DB87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9" xr16:uid="{367289DD-E35A-44D0-9B46-E1204571CAF2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B4F3D1-88DD-4225-B886-F89ED3314433}" name="テーブル_5__735" displayName="テーブル_5__735" ref="A1:E12" tableType="queryTable" totalsRowShown="0">
  <autoFilter ref="A1:E12" xr:uid="{DAB4F3D1-88DD-4225-B886-F89ED3314433}"/>
  <tableColumns count="5">
    <tableColumn id="1" xr3:uid="{A91BF423-A81E-4972-BC44-768D45ADEC45}" uniqueName="1" name="Column1" queryTableFieldId="1"/>
    <tableColumn id="2" xr3:uid="{7C5B747C-42CD-41CE-9DA5-C9D290A758FC}" uniqueName="2" name="Title" queryTableFieldId="2" dataDxfId="7"/>
    <tableColumn id="3" xr3:uid="{2C8C7422-A3EE-4AF7-9F49-C12655D13904}" uniqueName="3" name="Composer" queryTableFieldId="3" dataDxfId="6"/>
    <tableColumn id="4" xr3:uid="{10F82F0E-FAB5-4F2E-8A1A-6733A61ADE31}" uniqueName="4" name="Performer" queryTableFieldId="4" dataDxfId="5"/>
    <tableColumn id="5" xr3:uid="{EC5DF0BA-AA1F-46CF-97FE-5D4C5221E1F2}" uniqueName="5" name="Time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47A987-C699-4C09-BE2B-C828619053B0}" name="テーブル_5__73" displayName="テーブル_5__73" ref="A1:E12" tableType="queryTable" totalsRowShown="0">
  <autoFilter ref="A1:E12" xr:uid="{5E47A987-C699-4C09-BE2B-C828619053B0}"/>
  <tableColumns count="5">
    <tableColumn id="1" xr3:uid="{B0AF2DC0-18E0-402D-B68D-16DEFAD8B2CD}" uniqueName="1" name="Column1" queryTableFieldId="1"/>
    <tableColumn id="2" xr3:uid="{305C5BF9-B088-4E33-8CC4-9ACB0836C965}" uniqueName="2" name="Title" queryTableFieldId="2" dataDxfId="3"/>
    <tableColumn id="3" xr3:uid="{F082763E-17A0-469F-8CBC-813671D8236C}" uniqueName="3" name="Composer" queryTableFieldId="3" dataDxfId="2"/>
    <tableColumn id="4" xr3:uid="{51D43191-8C01-44D2-8A02-FABE3BE9ADE5}" uniqueName="4" name="Performer" queryTableFieldId="4" dataDxfId="1"/>
    <tableColumn id="5" xr3:uid="{397852E4-8194-46BB-856D-087FE3681A1E}" uniqueName="5" name="Time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40.7265625" bestFit="1" customWidth="1"/>
    <col min="3" max="3" width="54.1796875" bestFit="1" customWidth="1"/>
    <col min="4" max="4" width="46.5429687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t="s">
        <v>8</v>
      </c>
      <c r="C2" t="s">
        <v>9</v>
      </c>
      <c r="D2" t="s">
        <v>10</v>
      </c>
      <c r="E2" s="5">
        <v>7.2916666666666671E-2</v>
      </c>
    </row>
    <row r="3" spans="1:5">
      <c r="A3">
        <v>2</v>
      </c>
      <c r="B3" t="s">
        <v>11</v>
      </c>
      <c r="C3" t="s">
        <v>12</v>
      </c>
      <c r="D3" t="s">
        <v>13</v>
      </c>
      <c r="E3" s="5">
        <v>8.4027777777777785E-2</v>
      </c>
    </row>
    <row r="4" spans="1:5">
      <c r="A4">
        <v>3</v>
      </c>
      <c r="B4" t="s">
        <v>14</v>
      </c>
      <c r="C4" t="s">
        <v>15</v>
      </c>
      <c r="D4" t="s">
        <v>16</v>
      </c>
      <c r="E4" s="5">
        <v>0.10416666666666667</v>
      </c>
    </row>
    <row r="5" spans="1:5">
      <c r="A5">
        <v>4</v>
      </c>
      <c r="B5" t="s">
        <v>17</v>
      </c>
      <c r="C5" t="s">
        <v>18</v>
      </c>
      <c r="D5" t="s">
        <v>19</v>
      </c>
      <c r="E5" s="5">
        <v>0.16805555555555557</v>
      </c>
    </row>
    <row r="6" spans="1:5">
      <c r="A6">
        <v>5</v>
      </c>
      <c r="B6" t="s">
        <v>20</v>
      </c>
      <c r="C6" t="s">
        <v>10</v>
      </c>
      <c r="D6" t="s">
        <v>10</v>
      </c>
      <c r="E6" s="5">
        <v>0.12986111111111112</v>
      </c>
    </row>
    <row r="7" spans="1:5">
      <c r="A7">
        <v>6</v>
      </c>
      <c r="B7" t="s">
        <v>21</v>
      </c>
      <c r="C7" t="s">
        <v>10</v>
      </c>
      <c r="D7" t="s">
        <v>10</v>
      </c>
      <c r="E7" s="5">
        <v>0.17499999999999999</v>
      </c>
    </row>
    <row r="8" spans="1:5">
      <c r="A8">
        <v>7</v>
      </c>
      <c r="B8" t="s">
        <v>22</v>
      </c>
      <c r="C8" t="s">
        <v>23</v>
      </c>
      <c r="D8" t="s">
        <v>24</v>
      </c>
      <c r="E8" s="5">
        <v>0.19791666666666666</v>
      </c>
    </row>
    <row r="9" spans="1:5">
      <c r="A9">
        <v>8</v>
      </c>
      <c r="B9" t="s">
        <v>25</v>
      </c>
      <c r="C9" t="s">
        <v>18</v>
      </c>
      <c r="D9" t="s">
        <v>19</v>
      </c>
      <c r="E9" s="5">
        <v>0.11805555555555555</v>
      </c>
    </row>
    <row r="10" spans="1:5">
      <c r="A10">
        <v>9</v>
      </c>
      <c r="B10" t="s">
        <v>26</v>
      </c>
      <c r="C10" t="s">
        <v>10</v>
      </c>
      <c r="D10" t="s">
        <v>10</v>
      </c>
      <c r="E10" s="5">
        <v>0.17708333333333334</v>
      </c>
    </row>
    <row r="11" spans="1:5">
      <c r="A11">
        <v>10</v>
      </c>
      <c r="B11" t="s">
        <v>27</v>
      </c>
      <c r="C11" t="s">
        <v>9</v>
      </c>
      <c r="D11" t="s">
        <v>10</v>
      </c>
      <c r="E11" s="5">
        <v>0.11180555555555556</v>
      </c>
    </row>
    <row r="12" spans="1:5">
      <c r="A12">
        <v>11</v>
      </c>
      <c r="B12" t="s">
        <v>28</v>
      </c>
      <c r="C12" t="s">
        <v>29</v>
      </c>
      <c r="D12" t="s">
        <v>30</v>
      </c>
      <c r="E12" s="5">
        <v>0.11805555555555555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5" sqref="A3:K15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40</v>
      </c>
      <c r="F2" s="1">
        <f t="array" ref="F2">MAX(LENB(Sheet1!C1:'Sheet1'!C30))</f>
        <v>56</v>
      </c>
      <c r="H2" s="1">
        <f t="array" ref="H2">MAX(LENB(Sheet1!D1:'Sheet1'!D30))</f>
        <v>46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              </v>
      </c>
      <c r="E3" s="3" t="s">
        <v>0</v>
      </c>
      <c r="F3" t="str">
        <f>" "&amp;LEFTB("Composers"&amp;REPT(" ",$F$2-1),$F$2-1)</f>
        <v xml:space="preserve"> Composers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---------------------------------------- </v>
      </c>
      <c r="E4" s="3" t="s">
        <v>0</v>
      </c>
      <c r="F4" t="str">
        <f>" "&amp;REPT("-",$F$2)&amp;" "</f>
        <v xml:space="preserve"> -------------------------------------------------------- </v>
      </c>
      <c r="G4" s="3" t="s">
        <v>0</v>
      </c>
      <c r="H4" t="str">
        <f>" "&amp;REPT("-",$H$2)&amp;" "</f>
        <v xml:space="preserve"> 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Watch My Hands                          </v>
      </c>
      <c r="E5" s="3" t="s">
        <v>0</v>
      </c>
      <c r="F5" t="str">
        <f>" "&amp;LEFTB(Sheet1!C2&amp;REPT(" ",$F$2),$F$2)</f>
        <v xml:space="preserve"> McKinley Dixon / Sam E. Yamaha                          </v>
      </c>
      <c r="G5" s="3" t="s">
        <v>0</v>
      </c>
      <c r="H5" t="str">
        <f>LEFTB(Sheet1!D2&amp;REPT(" ",$H$2),$H$2)</f>
        <v xml:space="preserve">McKinley Dixon                                </v>
      </c>
      <c r="I5" s="3" t="s">
        <v>0</v>
      </c>
      <c r="J5" s="2" t="str">
        <f>TEXT(Sheet1!E2,"HH:MM")&amp;" "</f>
        <v xml:space="preserve">01:45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Sugar Water                             </v>
      </c>
      <c r="E6" s="3" t="s">
        <v>0</v>
      </c>
      <c r="F6" t="str">
        <f>" "&amp;LEFTB(Sheet1!C3&amp;REPT(" ",$F$2),$F$2)</f>
        <v xml:space="preserve"> Anjimile / Quelle Chris / McKinley Dixon / Sam E. Yamaha</v>
      </c>
      <c r="G6" s="3" t="s">
        <v>0</v>
      </c>
      <c r="H6" t="str">
        <f>LEFTB(Sheet1!D3&amp;REPT(" ",$H$2),$H$2)</f>
        <v xml:space="preserve">McKinley Dixon feat. Quelle Chris, Anjimile   </v>
      </c>
      <c r="I6" s="3" t="s">
        <v>0</v>
      </c>
      <c r="J6" s="2" t="str">
        <f>TEXT(Sheet1!E3,"HH:MM")&amp;" "</f>
        <v xml:space="preserve">02:01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A Crooked Stick                         </v>
      </c>
      <c r="E7" s="3" t="s">
        <v>0</v>
      </c>
      <c r="F7" t="str">
        <f>" "&amp;LEFTB(Sheet1!C4&amp;REPT(" ",$F$2),$F$2)</f>
        <v xml:space="preserve"> Alfred / McKinley Dixon / Ghais Guevara / Sam E. Yamaha </v>
      </c>
      <c r="G7" s="3" t="s">
        <v>0</v>
      </c>
      <c r="H7" t="str">
        <f>LEFTB(Sheet1!D4&amp;REPT(" ",$H$2),$H$2)</f>
        <v xml:space="preserve">McKinley Dixon feat. Ghais Guevara, Alfred    </v>
      </c>
      <c r="I7" s="3" t="s">
        <v>0</v>
      </c>
      <c r="J7" s="2" t="str">
        <f>TEXT(Sheet1!E4,"HH:MM")&amp;" "</f>
        <v xml:space="preserve">02:30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Recitatif                               </v>
      </c>
      <c r="E8" s="3" t="s">
        <v>0</v>
      </c>
      <c r="F8" t="str">
        <f>" "&amp;LEFTB(Sheet1!C5&amp;REPT(" ",$F$2),$F$2)</f>
        <v xml:space="preserve"> Teller Banks / McKinley Dixon / Sam E. Yamaha           </v>
      </c>
      <c r="G8" s="3" t="s">
        <v>0</v>
      </c>
      <c r="H8" t="str">
        <f>LEFTB(Sheet1!D5&amp;REPT(" ",$H$2),$H$2)</f>
        <v xml:space="preserve">McKinley Dixon feat. Teller Bank$             </v>
      </c>
      <c r="I8" s="3" t="s">
        <v>0</v>
      </c>
      <c r="J8" s="2" t="str">
        <f>TEXT(Sheet1!E5,"HH:MM")&amp;" "</f>
        <v xml:space="preserve">04:02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Run, Run, Run, Pt. II                   </v>
      </c>
      <c r="E9" s="3" t="s">
        <v>0</v>
      </c>
      <c r="F9" t="str">
        <f>" "&amp;LEFTB(Sheet1!C6&amp;REPT(" ",$F$2),$F$2)</f>
        <v xml:space="preserve"> McKinley Dixon                                          </v>
      </c>
      <c r="G9" s="3" t="s">
        <v>0</v>
      </c>
      <c r="H9" t="str">
        <f>LEFTB(Sheet1!D6&amp;REPT(" ",$H$2),$H$2)</f>
        <v xml:space="preserve">McKinley Dixon                                </v>
      </c>
      <c r="I9" s="3" t="s">
        <v>0</v>
      </c>
      <c r="J9" s="2" t="str">
        <f>TEXT(Sheet1!E6,"HH:MM")&amp;" "</f>
        <v xml:space="preserve">03:07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We’re Outside, Rejoice!                </v>
      </c>
      <c r="E10" s="3" t="s">
        <v>0</v>
      </c>
      <c r="F10" t="str">
        <f>" "&amp;LEFTB(Sheet1!C7&amp;REPT(" ",$F$2),$F$2)</f>
        <v xml:space="preserve"> McKinley Dixon                                          </v>
      </c>
      <c r="G10" s="3" t="s">
        <v>0</v>
      </c>
      <c r="H10" t="str">
        <f>LEFTB(Sheet1!D7&amp;REPT(" ",$H$2),$H$2)</f>
        <v xml:space="preserve">McKinley Dixon                                </v>
      </c>
      <c r="I10" s="3" t="s">
        <v>0</v>
      </c>
      <c r="J10" s="2" t="str">
        <f>TEXT(Sheet1!E7,"HH:MM")&amp;" "</f>
        <v xml:space="preserve">04:12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All the Loved Ones (What Would We Do???)</v>
      </c>
      <c r="E11" s="3" t="s">
        <v>0</v>
      </c>
      <c r="F11" t="str">
        <f>" "&amp;LEFTB(Sheet1!C8&amp;REPT(" ",$F$2),$F$2)</f>
        <v xml:space="preserve"> McKinley Dixon / ICECOLDBISHOP / Sam E. Yamaha          </v>
      </c>
      <c r="G11" s="3" t="s">
        <v>0</v>
      </c>
      <c r="H11" t="str">
        <f>LEFTB(Sheet1!D8&amp;REPT(" ",$H$2),$H$2)</f>
        <v>McKinley Dixon feat. ICECOLDBISHOP, Pink Shifu</v>
      </c>
      <c r="I11" s="3" t="s">
        <v>0</v>
      </c>
      <c r="J11" s="2" t="str">
        <f>TEXT(Sheet1!E8,"HH:MM")&amp;" "</f>
        <v xml:space="preserve">04:45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F.F.O.L                                 </v>
      </c>
      <c r="E12" s="3" t="s">
        <v>0</v>
      </c>
      <c r="F12" t="str">
        <f>" "&amp;LEFTB(Sheet1!C9&amp;REPT(" ",$F$2),$F$2)</f>
        <v xml:space="preserve"> Teller Banks / McKinley Dixon / Sam E. Yamaha           </v>
      </c>
      <c r="G12" s="3" t="s">
        <v>0</v>
      </c>
      <c r="H12" t="str">
        <f>LEFTB(Sheet1!D9&amp;REPT(" ",$H$2),$H$2)</f>
        <v xml:space="preserve">McKinley Dixon feat. Teller Bank$             </v>
      </c>
      <c r="I12" s="3" t="s">
        <v>0</v>
      </c>
      <c r="J12" s="2" t="str">
        <f>TEXT(Sheet1!E9,"HH:MM")&amp;" "</f>
        <v xml:space="preserve">02:50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Listen Gentle                           </v>
      </c>
      <c r="E13" s="3" t="s">
        <v>0</v>
      </c>
      <c r="F13" t="str">
        <f>" "&amp;LEFTB(Sheet1!C10&amp;REPT(" ",$F$2),$F$2)</f>
        <v xml:space="preserve"> McKinley Dixon                                          </v>
      </c>
      <c r="G13" s="3" t="s">
        <v>0</v>
      </c>
      <c r="H13" t="str">
        <f>LEFTB(Sheet1!D10&amp;REPT(" ",$H$2),$H$2)</f>
        <v xml:space="preserve">McKinley Dixon                                </v>
      </c>
      <c r="I13" s="3" t="s">
        <v>0</v>
      </c>
      <c r="J13" s="2" t="str">
        <f>TEXT(Sheet1!E10,"HH:MM")&amp;" "</f>
        <v xml:space="preserve">04:15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Magic, Alive!                           </v>
      </c>
      <c r="E14" s="3" t="s">
        <v>0</v>
      </c>
      <c r="F14" t="str">
        <f>" "&amp;LEFTB(Sheet1!C11&amp;REPT(" ",$F$2),$F$2)</f>
        <v xml:space="preserve"> McKinley Dixon / Sam E. Yamaha                          </v>
      </c>
      <c r="G14" s="3" t="s">
        <v>0</v>
      </c>
      <c r="H14" t="str">
        <f>LEFTB(Sheet1!D11&amp;REPT(" ",$H$2),$H$2)</f>
        <v xml:space="preserve">McKinley Dixon                                </v>
      </c>
      <c r="I14" s="3" t="s">
        <v>0</v>
      </c>
      <c r="J14" s="2" t="str">
        <f>TEXT(Sheet1!E11,"HH:MM")&amp;" "</f>
        <v xml:space="preserve">02:41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Could've Been Different                 </v>
      </c>
      <c r="E15" s="3" t="s">
        <v>0</v>
      </c>
      <c r="F15" t="str">
        <f>" "&amp;LEFTB(Sheet1!C12&amp;REPT(" ",$F$2),$F$2)</f>
        <v xml:space="preserve"> Blu / McKinley Dixon / Sam E. Yamaha                    </v>
      </c>
      <c r="G15" s="3" t="s">
        <v>0</v>
      </c>
      <c r="H15" t="str">
        <f>LEFTB(Sheet1!D12&amp;REPT(" ",$H$2),$H$2)</f>
        <v xml:space="preserve">McKinley Dixon feat. Blu, Shamir              </v>
      </c>
      <c r="I15" s="3" t="s">
        <v>0</v>
      </c>
      <c r="J15" s="2" t="str">
        <f>TEXT(Sheet1!E12,"HH:MM")&amp;" "</f>
        <v xml:space="preserve">02:50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                         </v>
      </c>
      <c r="E16" s="3" t="s">
        <v>0</v>
      </c>
      <c r="F16" t="str">
        <f>" "&amp;LEFTB(Sheet1!C13&amp;REPT(" ",$F$2),$F$2)</f>
        <v xml:space="preserve">                                                         </v>
      </c>
      <c r="G16" s="3" t="s">
        <v>0</v>
      </c>
      <c r="H16" t="str">
        <f>LEFTB(Sheet1!D13&amp;REPT(" ",$H$2),$H$2)</f>
        <v xml:space="preserve">                      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                       </v>
      </c>
      <c r="E17" s="3" t="s">
        <v>0</v>
      </c>
      <c r="F17" t="str">
        <f>" "&amp;LEFTB(Sheet1!C14&amp;REPT(" ",$F$2),$F$2)</f>
        <v xml:space="preserve">                                                         </v>
      </c>
      <c r="G17" s="3" t="s">
        <v>0</v>
      </c>
      <c r="H17" t="str">
        <f>LEFTB(Sheet1!D14&amp;REPT(" ",$H$2),$H$2)</f>
        <v xml:space="preserve">            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                       </v>
      </c>
      <c r="E18" s="3" t="s">
        <v>0</v>
      </c>
      <c r="F18" t="str">
        <f>" "&amp;LEFTB(Sheet1!C15&amp;REPT(" ",$F$2),$F$2)</f>
        <v xml:space="preserve">                                                         </v>
      </c>
      <c r="G18" s="3" t="s">
        <v>0</v>
      </c>
      <c r="H18" t="str">
        <f>LEFTB(Sheet1!D15&amp;REPT(" ",$H$2),$H$2)</f>
        <v xml:space="preserve">            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                   </v>
      </c>
      <c r="E19" s="3" t="s">
        <v>0</v>
      </c>
      <c r="F19" t="str">
        <f>" "&amp;LEFTB(Sheet1!C16&amp;REPT(" ",$F$2),$F$2)</f>
        <v xml:space="preserve">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                 </v>
      </c>
      <c r="E20" s="3" t="s">
        <v>0</v>
      </c>
      <c r="F20" t="str">
        <f>" "&amp;LEFTB(Sheet1!C17&amp;REPT(" ",$F$2),$F$2)</f>
        <v xml:space="preserve">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                 </v>
      </c>
      <c r="E21" s="3" t="s">
        <v>0</v>
      </c>
      <c r="F21" t="str">
        <f>" "&amp;LEFTB(Sheet1!C18&amp;REPT(" ",$F$2),$F$2)</f>
        <v xml:space="preserve">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               </v>
      </c>
      <c r="E22" s="3" t="s">
        <v>0</v>
      </c>
      <c r="F22" t="str">
        <f>" "&amp;LEFTB(Sheet1!C19&amp;REPT(" ",$F$2),$F$2)</f>
        <v xml:space="preserve">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               </v>
      </c>
      <c r="E23" s="3" t="s">
        <v>0</v>
      </c>
      <c r="F23" t="str">
        <f>" "&amp;LEFTB(Sheet1!C20&amp;REPT(" ",$F$2),$F$2)</f>
        <v xml:space="preserve">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              </v>
      </c>
      <c r="E24" s="3" t="s">
        <v>0</v>
      </c>
      <c r="F24" t="str">
        <f>" "&amp;LEFTB(Sheet1!C21&amp;REPT(" ",$F$2),$F$2)</f>
        <v xml:space="preserve">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              </v>
      </c>
      <c r="E25" s="3" t="s">
        <v>0</v>
      </c>
      <c r="F25" t="str">
        <f>" "&amp;LEFTB(Sheet1!C22&amp;REPT(" ",$F$2),$F$2)</f>
        <v xml:space="preserve">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              </v>
      </c>
      <c r="E26" s="3" t="s">
        <v>0</v>
      </c>
      <c r="F26" t="str">
        <f>" "&amp;LEFTB(Sheet1!C23&amp;REPT(" ",$F$2),$F$2)</f>
        <v xml:space="preserve">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              </v>
      </c>
      <c r="E27" s="3" t="s">
        <v>0</v>
      </c>
      <c r="F27" t="str">
        <f>" "&amp;LEFTB(Sheet1!C24&amp;REPT(" ",$F$2),$F$2)</f>
        <v xml:space="preserve">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              </v>
      </c>
      <c r="E28" s="3" t="s">
        <v>0</v>
      </c>
      <c r="F28" t="str">
        <f>" "&amp;LEFTB(Sheet1!C25&amp;REPT(" ",$F$2),$F$2)</f>
        <v xml:space="preserve">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C886B-DDA4-4602-AF5B-24F2E843C3BB}">
  <dimension ref="A1:E12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40.7265625" bestFit="1" customWidth="1"/>
    <col min="3" max="3" width="54.1796875" bestFit="1" customWidth="1"/>
    <col min="4" max="4" width="46.5429687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t="s">
        <v>8</v>
      </c>
      <c r="C2" t="s">
        <v>9</v>
      </c>
      <c r="D2" t="s">
        <v>10</v>
      </c>
      <c r="E2" s="5">
        <v>7.2916666666666671E-2</v>
      </c>
    </row>
    <row r="3" spans="1:5">
      <c r="A3">
        <v>2</v>
      </c>
      <c r="B3" t="s">
        <v>11</v>
      </c>
      <c r="C3" t="s">
        <v>12</v>
      </c>
      <c r="D3" t="s">
        <v>13</v>
      </c>
      <c r="E3" s="5">
        <v>8.4027777777777785E-2</v>
      </c>
    </row>
    <row r="4" spans="1:5">
      <c r="A4">
        <v>3</v>
      </c>
      <c r="B4" t="s">
        <v>14</v>
      </c>
      <c r="C4" t="s">
        <v>15</v>
      </c>
      <c r="D4" t="s">
        <v>16</v>
      </c>
      <c r="E4" s="5">
        <v>0.10416666666666667</v>
      </c>
    </row>
    <row r="5" spans="1:5">
      <c r="A5">
        <v>4</v>
      </c>
      <c r="B5" t="s">
        <v>17</v>
      </c>
      <c r="C5" t="s">
        <v>18</v>
      </c>
      <c r="D5" t="s">
        <v>19</v>
      </c>
      <c r="E5" s="5">
        <v>0.16805555555555557</v>
      </c>
    </row>
    <row r="6" spans="1:5">
      <c r="A6">
        <v>5</v>
      </c>
      <c r="B6" t="s">
        <v>20</v>
      </c>
      <c r="C6" t="s">
        <v>10</v>
      </c>
      <c r="D6" t="s">
        <v>10</v>
      </c>
      <c r="E6" s="5">
        <v>0.12986111111111112</v>
      </c>
    </row>
    <row r="7" spans="1:5">
      <c r="A7">
        <v>6</v>
      </c>
      <c r="B7" t="s">
        <v>21</v>
      </c>
      <c r="C7" t="s">
        <v>10</v>
      </c>
      <c r="D7" t="s">
        <v>10</v>
      </c>
      <c r="E7" s="5">
        <v>0.17499999999999999</v>
      </c>
    </row>
    <row r="8" spans="1:5">
      <c r="A8">
        <v>7</v>
      </c>
      <c r="B8" t="s">
        <v>22</v>
      </c>
      <c r="C8" t="s">
        <v>23</v>
      </c>
      <c r="D8" t="s">
        <v>24</v>
      </c>
      <c r="E8" s="5">
        <v>0.19791666666666666</v>
      </c>
    </row>
    <row r="9" spans="1:5">
      <c r="A9">
        <v>8</v>
      </c>
      <c r="B9" t="s">
        <v>25</v>
      </c>
      <c r="C9" t="s">
        <v>18</v>
      </c>
      <c r="D9" t="s">
        <v>19</v>
      </c>
      <c r="E9" s="5">
        <v>0.11805555555555555</v>
      </c>
    </row>
    <row r="10" spans="1:5">
      <c r="A10">
        <v>9</v>
      </c>
      <c r="B10" t="s">
        <v>26</v>
      </c>
      <c r="C10" t="s">
        <v>10</v>
      </c>
      <c r="D10" t="s">
        <v>10</v>
      </c>
      <c r="E10" s="5">
        <v>0.17708333333333334</v>
      </c>
    </row>
    <row r="11" spans="1:5">
      <c r="A11">
        <v>10</v>
      </c>
      <c r="B11" t="s">
        <v>27</v>
      </c>
      <c r="C11" t="s">
        <v>9</v>
      </c>
      <c r="D11" t="s">
        <v>10</v>
      </c>
      <c r="E11" s="5">
        <v>0.11180555555555556</v>
      </c>
    </row>
    <row r="12" spans="1:5">
      <c r="A12">
        <v>11</v>
      </c>
      <c r="B12" t="s">
        <v>28</v>
      </c>
      <c r="C12" t="s">
        <v>29</v>
      </c>
      <c r="D12" t="s">
        <v>30</v>
      </c>
      <c r="E12" s="5">
        <v>0.11805555555555555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FA8F8-D67F-4CB4-8330-34B2A93F9BC7}">
  <dimension ref="E2:E11"/>
  <sheetViews>
    <sheetView workbookViewId="0"/>
  </sheetViews>
  <sheetFormatPr defaultRowHeight="19.8"/>
  <cols>
    <col min="1" max="1" width="10.81640625" bestFit="1" customWidth="1"/>
    <col min="2" max="2" width="18.26953125" bestFit="1" customWidth="1"/>
    <col min="3" max="3" width="51.81640625" bestFit="1" customWidth="1"/>
    <col min="4" max="4" width="52.9062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9F5F9-3C4F-4F38-821F-22FCE9E73653}">
  <dimension ref="E2:E12"/>
  <sheetViews>
    <sheetView workbookViewId="0"/>
  </sheetViews>
  <sheetFormatPr defaultRowHeight="19.8"/>
  <cols>
    <col min="1" max="1" width="10.81640625" bestFit="1" customWidth="1"/>
    <col min="2" max="2" width="18.81640625" bestFit="1" customWidth="1"/>
    <col min="3" max="3" width="50" bestFit="1" customWidth="1"/>
    <col min="4" max="4" width="17.179687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(73)</vt:lpstr>
      <vt:lpstr>テーブル 5 (71)</vt:lpstr>
      <vt:lpstr>テーブル 5 (67)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2025-09-13T06:41:15Z</dcterms:modified>
</cp:coreProperties>
</file>