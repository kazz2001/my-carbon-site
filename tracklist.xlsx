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674262B5-B0D8-46F1-94E8-3A6C8151BC1F}" xr6:coauthVersionLast="47" xr6:coauthVersionMax="47" xr10:uidLastSave="{00000000-0000-0000-0000-000000000000}"/>
  <bookViews>
    <workbookView xWindow="825" yWindow="1170" windowWidth="23895" windowHeight="14310" activeTab="1" xr2:uid="{00000000-000D-0000-FFFF-FFFF00000000}"/>
  </bookViews>
  <sheets>
    <sheet name="Sheet1" sheetId="1" r:id="rId1"/>
    <sheet name="Sheet2" sheetId="2" r:id="rId2"/>
    <sheet name="テーブル 5 (65)" sheetId="72" r:id="rId3"/>
    <sheet name="テーブル 5 (63)" sheetId="71" r:id="rId4"/>
    <sheet name="テーブル 5 (61)" sheetId="70" r:id="rId5"/>
  </sheets>
  <definedNames>
    <definedName name="ExternalData_1" localSheetId="2" hidden="1">'テーブル 5 (65)'!$A$1:$E$12</definedName>
    <definedName name="ExternalData_2" localSheetId="0" hidden="1">Sheet1!$A$1:$E$12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8E94A45C-00CE-41E1-BC77-0B7DBAC9B2C2}" keepAlive="1" name="クエリ - テーブル 5 (59)" description="ブック内の 'テーブル 5 (59)' クエリへの接続です。" type="5" refreshedVersion="8" background="1" saveData="1">
    <dbPr connection="Provider=Microsoft.Mashup.OleDb.1;Data Source=$Workbook$;Location=&quot;テーブル 5 (59)&quot;;Extended Properties=&quot;&quot;" command="SELECT * FROM [テーブル 5 (59)]"/>
  </connection>
  <connection id="134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5" xr16:uid="{11199990-A322-46C2-A519-29F73E80E0EE}" keepAlive="1" name="クエリ - テーブル 5 (60)" description="ブック内の 'テーブル 5 (60)' クエリへの接続です。" type="5" refreshedVersion="8" background="1" saveData="1">
    <dbPr connection="Provider=Microsoft.Mashup.OleDb.1;Data Source=$Workbook$;Location=&quot;テーブル 5 (60)&quot;;Extended Properties=&quot;&quot;" command="SELECT * FROM [テーブル 5 (60)]"/>
  </connection>
  <connection id="136" xr16:uid="{F402F748-2349-414B-802D-7FDF17E1BFFA}" keepAlive="1" name="クエリ - テーブル 5 (61)" description="ブック内の 'テーブル 5 (61)' クエリへの接続です。" type="5" refreshedVersion="8" background="1" saveData="1">
    <dbPr connection="Provider=Microsoft.Mashup.OleDb.1;Data Source=$Workbook$;Location=&quot;テーブル 5 (61)&quot;;Extended Properties=&quot;&quot;" command="SELECT * FROM [テーブル 5 (61)]"/>
  </connection>
  <connection id="137" xr16:uid="{D0DF5541-C189-427F-987F-D492C0D8AF07}" keepAlive="1" name="クエリ - テーブル 5 (62)" description="ブック内の 'テーブル 5 (62)' クエリへの接続です。" type="5" refreshedVersion="8" background="1" saveData="1">
    <dbPr connection="Provider=Microsoft.Mashup.OleDb.1;Data Source=$Workbook$;Location=&quot;テーブル 5 (62)&quot;;Extended Properties=&quot;&quot;" command="SELECT * FROM [テーブル 5 (62)]"/>
  </connection>
  <connection id="138" xr16:uid="{A9B568BA-7ED4-48D7-ACAB-4C93F8584743}" keepAlive="1" name="クエリ - テーブル 5 (63)" description="ブック内の 'テーブル 5 (63)' クエリへの接続です。" type="5" refreshedVersion="0" background="1">
    <dbPr connection="Provider=Microsoft.Mashup.OleDb.1;Data Source=$Workbook$;Location=&quot;テーブル 5 (63)&quot;;Extended Properties=&quot;&quot;" command="SELECT * FROM [テーブル 5 (63)]"/>
  </connection>
  <connection id="139" xr16:uid="{E8806155-1A53-4387-9215-A077F81B3EA8}" keepAlive="1" name="クエリ - テーブル 5 (64)" description="ブック内の 'テーブル 5 (64)' クエリへの接続です。" type="5" refreshedVersion="8" background="1" saveData="1">
    <dbPr connection="Provider=Microsoft.Mashup.OleDb.1;Data Source=$Workbook$;Location=&quot;テーブル 5 (64)&quot;;Extended Properties=&quot;&quot;" command="SELECT * FROM [テーブル 5 (64)]"/>
  </connection>
  <connection id="140" xr16:uid="{EA53A195-970D-4B24-98FF-F989BAE95881}" keepAlive="1" name="クエリ - テーブル 5 (65)" description="ブック内の 'テーブル 5 (65)' クエリへの接続です。" type="5" refreshedVersion="8" background="1" saveData="1">
    <dbPr connection="Provider=Microsoft.Mashup.OleDb.1;Data Source=$Workbook$;Location=&quot;テーブル 5 (65)&quot;;Extended Properties=&quot;&quot;" command="SELECT * FROM [テーブル 5 (65)]"/>
  </connection>
  <connection id="141" xr16:uid="{B026A762-CDB7-445F-9538-62399460FAE7}" keepAlive="1" name="クエリ - テーブル 5 (66)" description="ブック内の 'テーブル 5 (66)' クエリへの接続です。" type="5" refreshedVersion="8" background="1" saveData="1">
    <dbPr connection="Provider=Microsoft.Mashup.OleDb.1;Data Source=$Workbook$;Location=&quot;テーブル 5 (66)&quot;;Extended Properties=&quot;&quot;" command="SELECT * FROM [テーブル 5 (66)]"/>
  </connection>
  <connection id="142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43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44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<sst xmlns="http://schemas.openxmlformats.org/spreadsheetml/2006/main" count="246" uniqueCount="38">
  <si>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</si>
  <si>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</si>
  <si>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</si>
  <si>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</si>
  <si>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</si>
  <si>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</si>
  <si>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</si>
  <si>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</si>
  <si>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Eusexua</t>
  </si>
  <si>
    <t>Tahliah Barnett / Alexandra Drewchin / Ethan P. Flynn / Koreless</t>
  </si>
  <si>
    <t>FKA twigs</t>
  </si>
  <si>
    <t>Girl Feels Good</t>
  </si>
  <si>
    <t>Tahliah Barnett / Raul Cubina / Douglas Ford / Alastair O'Donnell / Lewis
                  Roberts / Mark Williams</t>
  </si>
  <si>
    <t>Perfect Stranger</t>
  </si>
  <si>
    <t>Tahliah Barnett / Raul Cubina / Mikkel S. Eriksen / Tor Erik Hermansen
                  / Lewis Roberts / Mark Williams</t>
  </si>
  <si>
    <t>Drums of Death</t>
  </si>
  <si>
    <t>Tahliah Barnett / Robin L. Cho / Tintin Freeman / G-DRAGON / Lewis Roberts</t>
  </si>
  <si>
    <t>FKA twigs feat: Koreless</t>
  </si>
  <si>
    <t>Room of Fools</t>
  </si>
  <si>
    <t>Tahliah Barnett / Lewis Roberts / De Vries</t>
  </si>
  <si>
    <t>Sticky</t>
  </si>
  <si>
    <t>Tahliah Barnett / Raul Cubina / Jimmy Napes / Lewis Roberts / Mark Williams</t>
  </si>
  <si>
    <t>Keep It, Hold It</t>
  </si>
  <si>
    <t>Tahliah Barnett / Nicolas Jaar / Lewis Roberts / De Vries</t>
  </si>
  <si>
    <t>Childlike Things</t>
  </si>
  <si>
    <t>Tahliah Barnett / Mike Chapman / Simon Pilton</t>
  </si>
  <si>
    <t>FKA twigs feat. North West</t>
  </si>
  <si>
    <t>Striptease</t>
  </si>
  <si>
    <t>Tahliah Barnett / Dylan Brady / Raul Cubina / Lewis Roberts / De Vries
                  / Mark Williams</t>
  </si>
  <si>
    <t>24HR Dog</t>
  </si>
  <si>
    <t>Tahliah Barnett / Raul Cubina / Ethan P. Flynn / Lewis Roberts / Mark Williams</t>
  </si>
  <si>
    <t>Wanderlust</t>
  </si>
  <si>
    <t>Tahliah Barnett / Raul Cubina / Amanda Ghost / Emile Haynie / Stuart Price
                  / Lewis Roberts / Ed Thomas / Mark Williams / Timmaz Zolleyn</t>
  </si>
  <si>
    <t>Tahliah Barnett / Alexandra Drewchin / Ethan P. Flynn / Koreless</t>
    <phoneticPr fontId="1"/>
  </si>
  <si>
    <t>Tahliah Barnett / Raul Cubina / Douglas Ford / Alastair O'Donnell / Lewis                  Roberts / Mark Williams</t>
    <phoneticPr fontId="1"/>
  </si>
  <si>
    <t>Tahliah Barnett / Raul Cubina / Mikkel S. Eriksen / Tor Erik Hermansen                  / Lewis Roberts / Mark Williams</t>
    <phoneticPr fontId="1"/>
  </si>
  <si>
    <t>Tahliah Barnett / Dylan Brady / Raul Cubina / Lewis Roberts / De Vries                  / Mark Williams</t>
    <phoneticPr fontId="1"/>
  </si>
  <si>
    <t>Tahliah Barnett / Raul Cubina / Amanda Ghost / Emile Haynie / Stuart Price                  / Lewis Roberts / Ed Thomas / Mark Williams / Timmaz Zolleyn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</si>
</sst>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1" xr16:uid="{A3510695-6DF9-41E5-BBF2-2F4C93C8CC0A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0" xr16:uid="{C9E504F9-9A19-4049-9313-02334A564A34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AB843C-AC13-4671-ABAE-508E26767A09}" name="テーブル_5__655" displayName="テーブル_5__655" ref="A1:E12" tableType="queryTable" totalsRowShown="0">
  <autoFilter ref="A1:E12" xr:uid="{80AB843C-AC13-4671-ABAE-508E26767A09}"/>
  <tableColumns count="5">
    <tableColumn id="1" xr3:uid="{FAE70E7B-C2DA-4DFA-AA23-34CB3BDE78DB}" uniqueName="1" name="Column1" queryTableFieldId="1"/>
    <tableColumn id="2" xr3:uid="{B0A5BCA3-B123-4348-8455-77D883E187F0}" uniqueName="2" name="Title" queryTableFieldId="2" dataDxfId="3"/>
    <tableColumn id="3" xr3:uid="{DD13FBF4-27F5-4E91-A6EA-716160DF26EE}" uniqueName="3" name="Composer" queryTableFieldId="3" dataDxfId="2"/>
    <tableColumn id="4" xr3:uid="{A1593C7A-BB90-466E-9EF9-5C0C7862E78D}" uniqueName="4" name="Performer" queryTableFieldId="4" dataDxfId="1"/>
    <tableColumn id="5" xr3:uid="{67F81ECB-CB59-45A9-8317-C7477AF00411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B06E47-E0C6-4A29-A59F-7ABF893438EB}" name="テーブル_5__65" displayName="テーブル_5__65" ref="A1:E12" tableType="queryTable" totalsRowShown="0">
  <autoFilter ref="A1:E12" xr:uid="{E5B06E47-E0C6-4A29-A59F-7ABF893438EB}"/>
  <tableColumns count="5">
    <tableColumn id="1" xr3:uid="{5A136156-0798-4DCD-8425-01BD344CE473}" uniqueName="1" name="Column1" queryTableFieldId="1"/>
    <tableColumn id="2" xr3:uid="{4AA14013-0CDD-48B8-B95F-F8CDEB2AD565}" uniqueName="2" name="Title" queryTableFieldId="2" dataDxfId="7"/>
    <tableColumn id="3" xr3:uid="{62FC9247-1201-4E31-9F85-1CED607B186F}" uniqueName="3" name="Composer" queryTableFieldId="3" dataDxfId="6"/>
    <tableColumn id="4" xr3:uid="{094EE696-A1FE-444C-9798-F00742183737}" uniqueName="4" name="Performer" queryTableFieldId="4" dataDxfId="5"/>
    <tableColumn id="5" xr3:uid="{74AD76D1-585B-455A-9140-F34C3B552335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C13" sqref="C13"/>
    </sheetView>
  </sheetViews>
  <sheetFormatPr defaultRowHeight="19.5"/>
  <cols>
    <col min="1" max="1" width="11" bestFit="1" customWidth="1"/>
    <col min="2" max="2" width="15.88671875" bestFit="1" customWidth="1"/>
    <col min="3" max="3" width="80.88671875" bestFit="1" customWidth="1"/>
    <col min="4" max="4" width="25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33</v>
      </c>
      <c r="D2" s="6" t="s">
        <v>10</v>
      </c>
      <c r="E2" s="5">
        <v>0.18263888888888888</v>
      </c>
    </row>
    <row r="3" spans="1:5">
      <c r="A3">
        <v>2</v>
      </c>
      <c r="B3" s="6" t="s">
        <v>11</v>
      </c>
      <c r="C3" s="6" t="s">
        <v>34</v>
      </c>
      <c r="D3" s="6" t="s">
        <v>10</v>
      </c>
      <c r="E3" s="5">
        <v>0.16388888888888889</v>
      </c>
    </row>
    <row r="4" spans="1:5">
      <c r="A4">
        <v>3</v>
      </c>
      <c r="B4" s="6" t="s">
        <v>13</v>
      </c>
      <c r="C4" s="6" t="s">
        <v>35</v>
      </c>
      <c r="D4" s="6" t="s">
        <v>10</v>
      </c>
      <c r="E4" s="5">
        <v>0.13680555555555557</v>
      </c>
    </row>
    <row r="5" spans="1:5">
      <c r="A5">
        <v>4</v>
      </c>
      <c r="B5" s="6" t="s">
        <v>15</v>
      </c>
      <c r="C5" s="6" t="s">
        <v>16</v>
      </c>
      <c r="D5" s="6" t="s">
        <v>17</v>
      </c>
      <c r="E5" s="5">
        <v>0.13263888888888889</v>
      </c>
    </row>
    <row r="6" spans="1:5">
      <c r="A6">
        <v>5</v>
      </c>
      <c r="B6" s="6" t="s">
        <v>18</v>
      </c>
      <c r="C6" s="6" t="s">
        <v>19</v>
      </c>
      <c r="D6" s="6" t="s">
        <v>10</v>
      </c>
      <c r="E6" s="5">
        <v>0.18402777777777779</v>
      </c>
    </row>
    <row r="7" spans="1:5">
      <c r="A7">
        <v>6</v>
      </c>
      <c r="B7" s="6" t="s">
        <v>20</v>
      </c>
      <c r="C7" s="6" t="s">
        <v>21</v>
      </c>
      <c r="D7" s="6" t="s">
        <v>10</v>
      </c>
      <c r="E7" s="5">
        <v>0.12291666666666666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0.18888888888888888</v>
      </c>
    </row>
    <row r="9" spans="1:5">
      <c r="A9">
        <v>8</v>
      </c>
      <c r="B9" s="6" t="s">
        <v>24</v>
      </c>
      <c r="C9" s="6" t="s">
        <v>25</v>
      </c>
      <c r="D9" s="6" t="s">
        <v>26</v>
      </c>
      <c r="E9" s="5">
        <v>0.10416666666666667</v>
      </c>
    </row>
    <row r="10" spans="1:5">
      <c r="A10">
        <v>9</v>
      </c>
      <c r="B10" s="6" t="s">
        <v>27</v>
      </c>
      <c r="C10" s="6" t="s">
        <v>36</v>
      </c>
      <c r="D10" s="6" t="s">
        <v>10</v>
      </c>
      <c r="E10" s="5">
        <v>0.19236111111111112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0.19513888888888889</v>
      </c>
    </row>
    <row r="12" spans="1:5">
      <c r="A12">
        <v>11</v>
      </c>
      <c r="B12" s="6" t="s">
        <v>31</v>
      </c>
      <c r="C12" s="6" t="s">
        <v>37</v>
      </c>
      <c r="D12" s="6" t="s">
        <v>10</v>
      </c>
      <c r="E12" s="5">
        <v>0.17847222222222223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topLeftCell="G1" workbookViewId="0">
      <selection activeCell="A3" sqref="A3:K15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16</v>
      </c>
      <c r="F2" s="1">
        <f t="array" ref="F2">MAX(LENB(Sheet1!C1:'Sheet1'!C30))</f>
        <v>152</v>
      </c>
      <c r="H2" s="1">
        <f t="array" ref="H2">MAX(LENB(Sheet1!D1:'Sheet1'!D30))</f>
        <v>26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Eusexua         </v>
      </c>
      <c r="E5" s="3" t="s">
        <v>0</v>
      </c>
      <c r="F5" t="str">
        <f>" "&amp;LEFTB(Sheet1!C2&amp;REPT(" ",$F$2),$F$2)</f>
        <v xml:space="preserve"> Tahliah Barnett / Alexandra Drewchin / Ethan P. Flynn / Koreless                                                                                        </v>
      </c>
      <c r="G5" s="3" t="s">
        <v>0</v>
      </c>
      <c r="H5" t="str">
        <f>LEFTB(Sheet1!D2&amp;REPT(" ",$H$2),$H$2)</f>
        <v xml:space="preserve">FKA twigs                 </v>
      </c>
      <c r="I5" s="3" t="s">
        <v>0</v>
      </c>
      <c r="J5" s="2" t="str">
        <f>TEXT(Sheet1!E2,"HH:MM")&amp;" "</f>
        <v xml:space="preserve">04:23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Girl Feels Good </v>
      </c>
      <c r="E6" s="3" t="s">
        <v>0</v>
      </c>
      <c r="F6" t="str">
        <f>" "&amp;LEFTB(Sheet1!C3&amp;REPT(" ",$F$2),$F$2)</f>
        <v xml:space="preserve"> Tahliah Barnett / Raul Cubina / Douglas Ford / Alastair O'Donnell / Lewis                  Roberts / Mark Williams                                      </v>
      </c>
      <c r="G6" s="3" t="s">
        <v>0</v>
      </c>
      <c r="H6" t="str">
        <f>LEFTB(Sheet1!D3&amp;REPT(" ",$H$2),$H$2)</f>
        <v xml:space="preserve">FKA twigs                 </v>
      </c>
      <c r="I6" s="3" t="s">
        <v>0</v>
      </c>
      <c r="J6" s="2" t="str">
        <f>TEXT(Sheet1!E3,"HH:MM")&amp;" "</f>
        <v xml:space="preserve">03:56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>Perfect Stranger</v>
      </c>
      <c r="E7" s="3" t="s">
        <v>0</v>
      </c>
      <c r="F7" t="str">
        <f>" "&amp;LEFTB(Sheet1!C4&amp;REPT(" ",$F$2),$F$2)</f>
        <v xml:space="preserve"> Tahliah Barnett / Raul Cubina / Mikkel S. Eriksen / Tor Erik Hermansen                  / Lewis Roberts / Mark Williams                                 </v>
      </c>
      <c r="G7" s="3" t="s">
        <v>0</v>
      </c>
      <c r="H7" t="str">
        <f>LEFTB(Sheet1!D4&amp;REPT(" ",$H$2),$H$2)</f>
        <v xml:space="preserve">FKA twigs                 </v>
      </c>
      <c r="I7" s="3" t="s">
        <v>0</v>
      </c>
      <c r="J7" s="2" t="str">
        <f>TEXT(Sheet1!E4,"HH:MM")&amp;" "</f>
        <v xml:space="preserve">03:17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Drums of Death  </v>
      </c>
      <c r="E8" s="3" t="s">
        <v>0</v>
      </c>
      <c r="F8" t="str">
        <f>" "&amp;LEFTB(Sheet1!C5&amp;REPT(" ",$F$2),$F$2)</f>
        <v xml:space="preserve"> Tahliah Barnett / Robin L. Cho / Tintin Freeman / G-DRAGON / Lewis Roberts                                                                              </v>
      </c>
      <c r="G8" s="3" t="s">
        <v>0</v>
      </c>
      <c r="H8" t="str">
        <f>LEFTB(Sheet1!D5&amp;REPT(" ",$H$2),$H$2)</f>
        <v xml:space="preserve">FKA twigs feat: Koreless  </v>
      </c>
      <c r="I8" s="3" t="s">
        <v>0</v>
      </c>
      <c r="J8" s="2" t="str">
        <f>TEXT(Sheet1!E5,"HH:MM")&amp;" "</f>
        <v xml:space="preserve">03:11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Room of Fools   </v>
      </c>
      <c r="E9" s="3" t="s">
        <v>0</v>
      </c>
      <c r="F9" t="str">
        <f>" "&amp;LEFTB(Sheet1!C6&amp;REPT(" ",$F$2),$F$2)</f>
        <v xml:space="preserve"> Tahliah Barnett / Lewis Roberts / De Vries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FKA twigs                 </v>
      </c>
      <c r="I9" s="3" t="s">
        <v>0</v>
      </c>
      <c r="J9" s="2" t="str">
        <f>TEXT(Sheet1!E6,"HH:MM")&amp;" "</f>
        <v xml:space="preserve">04:25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Sticky          </v>
      </c>
      <c r="E10" s="3" t="s">
        <v>0</v>
      </c>
      <c r="F10" t="str">
        <f>" "&amp;LEFTB(Sheet1!C7&amp;REPT(" ",$F$2),$F$2)</f>
        <v xml:space="preserve"> Tahliah Barnett / Raul Cubina / Jimmy Napes / Lewis Roberts / Mark Williams                                                                             </v>
      </c>
      <c r="G10" s="3" t="s">
        <v>0</v>
      </c>
      <c r="H10" t="str">
        <f>LEFTB(Sheet1!D7&amp;REPT(" ",$H$2),$H$2)</f>
        <v xml:space="preserve">FKA twigs                 </v>
      </c>
      <c r="I10" s="3" t="s">
        <v>0</v>
      </c>
      <c r="J10" s="2" t="str">
        <f>TEXT(Sheet1!E7,"HH:MM")&amp;" "</f>
        <v xml:space="preserve">02:57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Keep It, Hold It</v>
      </c>
      <c r="E11" s="3" t="s">
        <v>0</v>
      </c>
      <c r="F11" t="str">
        <f>" "&amp;LEFTB(Sheet1!C8&amp;REPT(" ",$F$2),$F$2)</f>
        <v xml:space="preserve"> Tahliah Barnett / Nicolas Jaar / Lewis Roberts / De Vries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FKA twigs                 </v>
      </c>
      <c r="I11" s="3" t="s">
        <v>0</v>
      </c>
      <c r="J11" s="2" t="str">
        <f>TEXT(Sheet1!E8,"HH:MM")&amp;" "</f>
        <v xml:space="preserve">04:32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>Childlike Things</v>
      </c>
      <c r="E12" s="3" t="s">
        <v>0</v>
      </c>
      <c r="F12" t="str">
        <f>" "&amp;LEFTB(Sheet1!C9&amp;REPT(" ",$F$2),$F$2)</f>
        <v xml:space="preserve"> Tahliah Barnett / Mike Chapman / Simon Pilton                                                                                                           </v>
      </c>
      <c r="G12" s="3" t="s">
        <v>0</v>
      </c>
      <c r="H12" t="str">
        <f>LEFTB(Sheet1!D9&amp;REPT(" ",$H$2),$H$2)</f>
        <v>FKA twigs feat. North West</v>
      </c>
      <c r="I12" s="3" t="s">
        <v>0</v>
      </c>
      <c r="J12" s="2" t="str">
        <f>TEXT(Sheet1!E9,"HH:MM")&amp;" "</f>
        <v xml:space="preserve">02:30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Striptease      </v>
      </c>
      <c r="E13" s="3" t="s">
        <v>0</v>
      </c>
      <c r="F13" t="str">
        <f>" "&amp;LEFTB(Sheet1!C10&amp;REPT(" ",$F$2),$F$2)</f>
        <v xml:space="preserve"> Tahliah Barnett / Dylan Brady / Raul Cubina / Lewis Roberts / De Vries                  / Mark Williams                                                 </v>
      </c>
      <c r="G13" s="3" t="s">
        <v>0</v>
      </c>
      <c r="H13" t="str">
        <f>LEFTB(Sheet1!D10&amp;REPT(" ",$H$2),$H$2)</f>
        <v xml:space="preserve">FKA twigs                 </v>
      </c>
      <c r="I13" s="3" t="s">
        <v>0</v>
      </c>
      <c r="J13" s="2" t="str">
        <f>TEXT(Sheet1!E10,"HH:MM")&amp;" "</f>
        <v xml:space="preserve">04:37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24HR Dog        </v>
      </c>
      <c r="E14" s="3" t="s">
        <v>0</v>
      </c>
      <c r="F14" t="str">
        <f>" "&amp;LEFTB(Sheet1!C11&amp;REPT(" ",$F$2),$F$2)</f>
        <v xml:space="preserve"> Tahliah Barnett / Raul Cubina / Ethan P. Flynn / Lewis Roberts / Mark Williams                                                                          </v>
      </c>
      <c r="G14" s="3" t="s">
        <v>0</v>
      </c>
      <c r="H14" t="str">
        <f>LEFTB(Sheet1!D11&amp;REPT(" ",$H$2),$H$2)</f>
        <v xml:space="preserve">FKA twigs                 </v>
      </c>
      <c r="I14" s="3" t="s">
        <v>0</v>
      </c>
      <c r="J14" s="2" t="str">
        <f>TEXT(Sheet1!E11,"HH:MM")&amp;" "</f>
        <v xml:space="preserve">04:41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Wanderlust      </v>
      </c>
      <c r="E15" s="3" t="s">
        <v>0</v>
      </c>
      <c r="F15" t="str">
        <f>" "&amp;LEFTB(Sheet1!C12&amp;REPT(" ",$F$2),$F$2)</f>
        <v xml:space="preserve"> Tahliah Barnett / Raul Cubina / Amanda Ghost / Emile Haynie / Stuart Price                  / Lewis Roberts / Ed Thomas / Mark Williams / Timmaz Zolleyn</v>
      </c>
      <c r="G15" s="3" t="s">
        <v>0</v>
      </c>
      <c r="H15" t="str">
        <f>LEFTB(Sheet1!D12&amp;REPT(" ",$H$2),$H$2)</f>
        <v xml:space="preserve">FKA twigs                 </v>
      </c>
      <c r="I15" s="3" t="s">
        <v>0</v>
      </c>
      <c r="J15" s="2" t="str">
        <f>TEXT(Sheet1!E12,"HH:MM")&amp;" "</f>
        <v xml:space="preserve">04:17 </v>
      </c>
      <c r="K15" s="3" t="s">
        <v>0</v>
      </c>
    </row>
    <row r="16" spans="1:11">
      <c r="A16" t="s">
        <v>0</v>
      </c>
      <c r="B16">
        <f>Sheet1!A13</f>
        <v>0</v>
      </c>
      <c r="C16" s="3" t="s">
        <v>0</v>
      </c>
      <c r="D16" s="4" t="str">
        <f>LEFTB(Sheet1!B13&amp;REPT(" ",$D$2),$D$2)</f>
        <v xml:space="preserve">                </v>
      </c>
      <c r="E16" s="3" t="s">
        <v>0</v>
      </c>
      <c r="F16" t="str">
        <f>" "&amp;LEFTB(Sheet1!C13&amp;REPT(" ",$F$2),$F$2)</f>
        <v xml:space="preserve">                                                                                                                                                         </v>
      </c>
      <c r="G16" s="3" t="s">
        <v>0</v>
      </c>
      <c r="H16" t="str">
        <f>LEFTB(Sheet1!D13&amp;REPT(" ",$H$2),$H$2)</f>
        <v xml:space="preserve">                          </v>
      </c>
      <c r="I16" s="3" t="s">
        <v>0</v>
      </c>
      <c r="J16" s="2" t="str">
        <f>TEXT(Sheet1!E13,"HH:MM")&amp;" "</f>
        <v xml:space="preserve">00:00 </v>
      </c>
      <c r="K16" s="3" t="s">
        <v>0</v>
      </c>
    </row>
    <row r="17" spans="1:11">
      <c r="A17" t="s">
        <v>0</v>
      </c>
      <c r="B17">
        <f>Sheet1!A14</f>
        <v>0</v>
      </c>
      <c r="C17" s="3" t="s">
        <v>0</v>
      </c>
      <c r="D17" s="4" t="str">
        <f>LEFTB(Sheet1!B14&amp;REPT(" ",$D$2),$D$2)</f>
        <v xml:space="preserve">                </v>
      </c>
      <c r="E17" s="3" t="s">
        <v>0</v>
      </c>
      <c r="F17" t="str">
        <f>" "&amp;LEFTB(Sheet1!C14&amp;REPT(" ",$F$2),$F$2)</f>
        <v xml:space="preserve">                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                          </v>
      </c>
      <c r="I17" s="3" t="s">
        <v>0</v>
      </c>
      <c r="J17" s="2" t="str">
        <f>TEXT(Sheet1!E14,"HH:MM")&amp;" "</f>
        <v xml:space="preserve">00:00 </v>
      </c>
      <c r="K17" s="3" t="s">
        <v>0</v>
      </c>
    </row>
    <row r="18" spans="1:11">
      <c r="A18" t="s">
        <v>0</v>
      </c>
      <c r="B18">
        <f>Sheet1!A15</f>
        <v>0</v>
      </c>
      <c r="C18" s="3" t="s">
        <v>0</v>
      </c>
      <c r="D18" t="str">
        <f>LEFTB(Sheet1!B15&amp;REPT(" ",$D$2),$D$2)</f>
        <v xml:space="preserve">                </v>
      </c>
      <c r="E18" s="3" t="s">
        <v>0</v>
      </c>
      <c r="F18" t="str">
        <f>" "&amp;LEFTB(Sheet1!C15&amp;REPT(" ",$F$2),$F$2)</f>
        <v xml:space="preserve">               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                          </v>
      </c>
      <c r="I18" s="3" t="s">
        <v>0</v>
      </c>
      <c r="J18" s="2" t="str">
        <f>TEXT(Sheet1!E15,"HH:MM")&amp;" "</f>
        <v xml:space="preserve">00:00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DA6B-48F6-47B6-B253-6730DC47A545}">
  <dimension ref="A1:E12"/>
  <sheetViews>
    <sheetView workbookViewId="0">
      <selection sqref="A1:XFD1048576"/>
    </sheetView>
  </sheetViews>
  <sheetFormatPr defaultRowHeight="19.5"/>
  <cols>
    <col min="1" max="1" width="11" bestFit="1" customWidth="1"/>
    <col min="2" max="2" width="15.88671875" bestFit="1" customWidth="1"/>
    <col min="3" max="3" width="80.88671875" bestFit="1" customWidth="1"/>
    <col min="4" max="4" width="25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0.18263888888888888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0.16388888888888889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0.13680555555555557</v>
      </c>
    </row>
    <row r="5" spans="1:5">
      <c r="A5">
        <v>4</v>
      </c>
      <c r="B5" s="6" t="s">
        <v>15</v>
      </c>
      <c r="C5" s="6" t="s">
        <v>16</v>
      </c>
      <c r="D5" s="6" t="s">
        <v>17</v>
      </c>
      <c r="E5" s="5">
        <v>0.13263888888888889</v>
      </c>
    </row>
    <row r="6" spans="1:5">
      <c r="A6">
        <v>5</v>
      </c>
      <c r="B6" s="6" t="s">
        <v>18</v>
      </c>
      <c r="C6" s="6" t="s">
        <v>19</v>
      </c>
      <c r="D6" s="6" t="s">
        <v>10</v>
      </c>
      <c r="E6" s="5">
        <v>0.18402777777777779</v>
      </c>
    </row>
    <row r="7" spans="1:5">
      <c r="A7">
        <v>6</v>
      </c>
      <c r="B7" s="6" t="s">
        <v>20</v>
      </c>
      <c r="C7" s="6" t="s">
        <v>21</v>
      </c>
      <c r="D7" s="6" t="s">
        <v>10</v>
      </c>
      <c r="E7" s="5">
        <v>0.12291666666666666</v>
      </c>
    </row>
    <row r="8" spans="1:5">
      <c r="A8">
        <v>7</v>
      </c>
      <c r="B8" s="6" t="s">
        <v>22</v>
      </c>
      <c r="C8" s="6" t="s">
        <v>23</v>
      </c>
      <c r="D8" s="6" t="s">
        <v>10</v>
      </c>
      <c r="E8" s="5">
        <v>0.18888888888888888</v>
      </c>
    </row>
    <row r="9" spans="1:5">
      <c r="A9">
        <v>8</v>
      </c>
      <c r="B9" s="6" t="s">
        <v>24</v>
      </c>
      <c r="C9" s="6" t="s">
        <v>25</v>
      </c>
      <c r="D9" s="6" t="s">
        <v>26</v>
      </c>
      <c r="E9" s="5">
        <v>0.10416666666666667</v>
      </c>
    </row>
    <row r="10" spans="1:5">
      <c r="A10">
        <v>9</v>
      </c>
      <c r="B10" s="6" t="s">
        <v>27</v>
      </c>
      <c r="C10" s="6" t="s">
        <v>28</v>
      </c>
      <c r="D10" s="6" t="s">
        <v>10</v>
      </c>
      <c r="E10" s="5">
        <v>0.19236111111111112</v>
      </c>
    </row>
    <row r="11" spans="1:5">
      <c r="A11">
        <v>10</v>
      </c>
      <c r="B11" s="6" t="s">
        <v>29</v>
      </c>
      <c r="C11" s="6" t="s">
        <v>30</v>
      </c>
      <c r="D11" s="6" t="s">
        <v>10</v>
      </c>
      <c r="E11" s="5">
        <v>0.19513888888888889</v>
      </c>
    </row>
    <row r="12" spans="1:5">
      <c r="A12">
        <v>11</v>
      </c>
      <c r="B12" s="6" t="s">
        <v>31</v>
      </c>
      <c r="C12" s="6" t="s">
        <v>32</v>
      </c>
      <c r="D12" s="6" t="s">
        <v>10</v>
      </c>
      <c r="E12" s="5">
        <v>0.17847222222222223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A6FC-A253-4B4B-A2DD-9590127B1411}">
  <dimension ref="B2:E12"/>
  <sheetViews>
    <sheetView workbookViewId="0"/>
  </sheetViews>
  <sheetFormatPr defaultRowHeight="19.5"/>
  <cols>
    <col min="1" max="1" width="11" bestFit="1" customWidth="1"/>
    <col min="2" max="2" width="19.109375" bestFit="1" customWidth="1"/>
    <col min="3" max="3" width="80.88671875" bestFit="1" customWidth="1"/>
    <col min="4" max="4" width="28.8867187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317A0-AC48-42A4-ABC6-DF07CECB9CCC}">
  <dimension ref="E2:E12"/>
  <sheetViews>
    <sheetView workbookViewId="0"/>
  </sheetViews>
  <sheetFormatPr defaultRowHeight="19.5"/>
  <cols>
    <col min="1" max="1" width="11" bestFit="1" customWidth="1"/>
    <col min="2" max="2" width="12.88671875" bestFit="1" customWidth="1"/>
    <col min="3" max="3" width="80.88671875" bestFit="1" customWidth="1"/>
    <col min="4" max="4" width="33.5546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テーブル 5 (65)</vt:lpstr>
      <vt:lpstr>テーブル 5 (63)</vt:lpstr>
      <vt:lpstr>テーブル 5 (61)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2025-06-02T12:10:01Z</dcterms:modified>
</cp:coreProperties>
</file>