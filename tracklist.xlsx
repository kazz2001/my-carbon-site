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4FFFFE5E-19CB-4C23-942F-CEFCB87464C8}" xr6:coauthVersionLast="47" xr6:coauthVersionMax="47" xr10:uidLastSave="{00000000-0000-0000-0000-000000000000}"/>
  <bookViews>
    <workbookView xWindow="15624" yWindow="768" windowWidth="21912" windowHeight="16824" activeTab="1" xr2:uid="{00000000-000D-0000-FFFF-FFFF00000000}"/>
  </bookViews>
  <sheets>
    <sheet name="Sheet1" sheetId="1" r:id="rId1"/>
    <sheet name="Sheet2" sheetId="2" r:id="rId2"/>
    <sheet name="テーブル 5 (31)" sheetId="55" r:id="rId3"/>
    <sheet name="テーブル 5 (29)" sheetId="54" r:id="rId4"/>
    <sheet name="テーブル 5 (27)" sheetId="53" r:id="rId5"/>
    <sheet name="テーブル 5 (25)" sheetId="52" r:id="rId6"/>
    <sheet name="テーブル 5 (23)" sheetId="51" r:id="rId7"/>
  </sheets>
  <definedNames>
    <definedName name="ExternalData_1" localSheetId="0" hidden="1">Sheet1!$A$1:$E$20</definedName>
    <definedName name="ExternalData_1" localSheetId="2" hidden="1">'テーブル 5 (31)'!$A$1:$E$20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06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07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08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09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10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<sst xmlns="http://schemas.openxmlformats.org/spreadsheetml/2006/main" count="294" uniqueCount="44">
  <si>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</si>
  <si>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</si>
  <si>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</si>
  <si>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</si>
  <si>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</si>
  <si>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</si>
  <si>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</si>
  <si>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</si>
  <si>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STANKA POOH</t>
  </si>
  <si>
    <t>Kalon Berry / Jaylah Hickmon / Devin Williams</t>
  </si>
  <si>
    <t>Doechii</t>
  </si>
  <si>
    <t>BULLFROG</t>
  </si>
  <si>
    <t>Mai Ankri / Jaylah Hickmon / Matthew Moleta</t>
  </si>
  <si>
    <t>BOILED PEANUTS</t>
  </si>
  <si>
    <t>Jaylah Hickmon</t>
  </si>
  <si>
    <t>DENIAL IS A RIVER</t>
  </si>
  <si>
    <t>Ian Anderson / Joey Hamhock / Jaylah Hickmon</t>
  </si>
  <si>
    <t>CATFISH</t>
  </si>
  <si>
    <t>Ahmanti Booker / Jaylah Hickmon</t>
  </si>
  <si>
    <t>SKIPP</t>
  </si>
  <si>
    <t>HIDE N SEEK</t>
  </si>
  <si>
    <t>Kalon Berry / Jaylah Hickmon</t>
  </si>
  <si>
    <t>BLOOM</t>
  </si>
  <si>
    <t>Jaylah Hickmon / JaydaLove</t>
  </si>
  <si>
    <t>WAIT</t>
  </si>
  <si>
    <t>Dylvinci / Jaylah Hickmon / Henry Was</t>
  </si>
  <si>
    <t>DEATH ROLL</t>
  </si>
  <si>
    <t>Jaylah Hickmon / Malik Sanders</t>
  </si>
  <si>
    <t>PROFIT</t>
  </si>
  <si>
    <t>David Duodu / Mike Hector / Jaylah Hickmon</t>
  </si>
  <si>
    <t>BOOM BAP</t>
  </si>
  <si>
    <t>Darhyl Camper / Jaylah Hickmon / Darius Scott</t>
  </si>
  <si>
    <t>NISSAN ALTIMA</t>
  </si>
  <si>
    <t>Jaylah Hickmon / Marcus Alandrus Randle</t>
  </si>
  <si>
    <t>GTFO</t>
  </si>
  <si>
    <t>Jaylah Hickmon / Devin Williams</t>
  </si>
  <si>
    <t>Doechii and Kuntfetish</t>
  </si>
  <si>
    <t>HUH!</t>
  </si>
  <si>
    <t>SLIDE</t>
  </si>
  <si>
    <t>FIREFLIES</t>
  </si>
  <si>
    <t>Monte Booker / Jaylah Hickmon / Sader</t>
  </si>
  <si>
    <t>BEVERLY HILLS</t>
  </si>
  <si>
    <t>ALLIGATOR BITES NEVER HEAL</t>
  </si>
  <si>
    <t>Miles Franklin / Jaylah Hickmon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</si>
</sst>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4" xr16:uid="{B3C1D6B5-915A-421B-BB5B-94A102C6074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3" xr16:uid="{734D6234-9004-4BCC-B699-97B3D12A1D30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D3C608-4E30-48E2-8701-9C859B09A881}" name="テーブル_5__313" displayName="テーブル_5__313" ref="A1:E20" tableType="queryTable" totalsRowShown="0">
  <autoFilter ref="A1:E20" xr:uid="{25D3C608-4E30-48E2-8701-9C859B09A881}"/>
  <tableColumns count="5">
    <tableColumn id="1" xr3:uid="{7A9CCFF1-DDBB-4491-8BFF-3026EF1A6649}" uniqueName="1" name="Column1" queryTableFieldId="1"/>
    <tableColumn id="2" xr3:uid="{EC80C217-457F-4C70-B8C2-72A3D4390485}" uniqueName="2" name="Title" queryTableFieldId="2" dataDxfId="3"/>
    <tableColumn id="3" xr3:uid="{0EB8DDF8-D7CE-4363-A8C1-5A90BB736FFB}" uniqueName="3" name="Composer" queryTableFieldId="3" dataDxfId="2"/>
    <tableColumn id="4" xr3:uid="{B703D641-5132-4F2D-99F5-07B330858F34}" uniqueName="4" name="Performer" queryTableFieldId="4" dataDxfId="1"/>
    <tableColumn id="5" xr3:uid="{A6D50B3B-AAE0-4D71-9F04-E54B43A7D13C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22F26-C0D4-46A1-A105-6B95BDBF6457}" name="テーブル_5__31" displayName="テーブル_5__31" ref="A1:E20" tableType="queryTable" totalsRowShown="0">
  <autoFilter ref="A1:E20" xr:uid="{BD022F26-C0D4-46A1-A105-6B95BDBF6457}"/>
  <tableColumns count="5">
    <tableColumn id="1" xr3:uid="{B8300D52-D115-46EF-863D-CEDD7392AA69}" uniqueName="1" name="Column1" queryTableFieldId="1"/>
    <tableColumn id="2" xr3:uid="{9C70779E-AB2D-48A2-89A8-743A5C322E87}" uniqueName="2" name="Title" queryTableFieldId="2" dataDxfId="7"/>
    <tableColumn id="3" xr3:uid="{24158D31-E297-41AC-8997-B9CF9CF02FB2}" uniqueName="3" name="Composer" queryTableFieldId="3" dataDxfId="6"/>
    <tableColumn id="4" xr3:uid="{5F4B1144-5854-4A7D-95E5-B0682CE04FD5}" uniqueName="4" name="Performer" queryTableFieldId="4" dataDxfId="5"/>
    <tableColumn id="5" xr3:uid="{84E0B0BF-B124-46F5-9383-C9E6109A8375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>
      <selection activeCell="C1" sqref="C1:C1048576"/>
    </sheetView>
  </sheetViews>
  <sheetFormatPr defaultRowHeight="19.8"/>
  <cols>
    <col min="1" max="1" width="10.81640625" bestFit="1" customWidth="1"/>
    <col min="2" max="2" width="30.54296875" bestFit="1" customWidth="1"/>
    <col min="3" max="3" width="44.1796875" bestFit="1" customWidth="1"/>
    <col min="4" max="4" width="21.4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8.4027777777777785E-2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6.5277777777777782E-2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8.4027777777777785E-2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0.11041666666666666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9.3055555555555558E-2</v>
      </c>
    </row>
    <row r="7" spans="1:5">
      <c r="A7">
        <v>6</v>
      </c>
      <c r="B7" s="6" t="s">
        <v>19</v>
      </c>
      <c r="C7" s="6" t="s">
        <v>18</v>
      </c>
      <c r="D7" s="6" t="s">
        <v>10</v>
      </c>
      <c r="E7" s="5">
        <v>6.9444444444444448E-2</v>
      </c>
    </row>
    <row r="8" spans="1:5">
      <c r="A8">
        <v>7</v>
      </c>
      <c r="B8" s="6" t="s">
        <v>20</v>
      </c>
      <c r="C8" s="6" t="s">
        <v>21</v>
      </c>
      <c r="D8" s="6" t="s">
        <v>10</v>
      </c>
      <c r="E8" s="5">
        <v>0.10347222222222222</v>
      </c>
    </row>
    <row r="9" spans="1:5">
      <c r="A9">
        <v>8</v>
      </c>
      <c r="B9" s="6" t="s">
        <v>22</v>
      </c>
      <c r="C9" s="6" t="s">
        <v>23</v>
      </c>
      <c r="D9" s="6" t="s">
        <v>10</v>
      </c>
      <c r="E9" s="5">
        <v>9.2361111111111116E-2</v>
      </c>
    </row>
    <row r="10" spans="1:5">
      <c r="A10">
        <v>9</v>
      </c>
      <c r="B10" s="6" t="s">
        <v>24</v>
      </c>
      <c r="C10" s="6" t="s">
        <v>25</v>
      </c>
      <c r="D10" s="6" t="s">
        <v>10</v>
      </c>
      <c r="E10" s="5">
        <v>0.12777777777777777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9.6527777777777782E-2</v>
      </c>
    </row>
    <row r="12" spans="1:5">
      <c r="A12">
        <v>11</v>
      </c>
      <c r="B12" s="6" t="s">
        <v>28</v>
      </c>
      <c r="C12" s="6" t="s">
        <v>29</v>
      </c>
      <c r="D12" s="6" t="s">
        <v>10</v>
      </c>
      <c r="E12" s="5">
        <v>6.5972222222222224E-2</v>
      </c>
    </row>
    <row r="13" spans="1:5">
      <c r="A13">
        <v>12</v>
      </c>
      <c r="B13" s="6" t="s">
        <v>30</v>
      </c>
      <c r="C13" s="6" t="s">
        <v>31</v>
      </c>
      <c r="D13" s="6" t="s">
        <v>10</v>
      </c>
      <c r="E13" s="5">
        <v>9.3055555555555558E-2</v>
      </c>
    </row>
    <row r="14" spans="1:5">
      <c r="A14">
        <v>13</v>
      </c>
      <c r="B14" s="6" t="s">
        <v>32</v>
      </c>
      <c r="C14" s="6" t="s">
        <v>33</v>
      </c>
      <c r="D14" s="6" t="s">
        <v>10</v>
      </c>
      <c r="E14" s="5">
        <v>8.8888888888888892E-2</v>
      </c>
    </row>
    <row r="15" spans="1:5">
      <c r="A15">
        <v>14</v>
      </c>
      <c r="B15" s="6" t="s">
        <v>34</v>
      </c>
      <c r="C15" s="6" t="s">
        <v>35</v>
      </c>
      <c r="D15" s="6" t="s">
        <v>36</v>
      </c>
      <c r="E15" s="5">
        <v>0.1111111111111111</v>
      </c>
    </row>
    <row r="16" spans="1:5">
      <c r="A16">
        <v>15</v>
      </c>
      <c r="B16" s="6" t="s">
        <v>37</v>
      </c>
      <c r="C16" s="6" t="s">
        <v>35</v>
      </c>
      <c r="D16" s="6" t="s">
        <v>10</v>
      </c>
      <c r="E16" s="5">
        <v>9.4444444444444442E-2</v>
      </c>
    </row>
    <row r="17" spans="1:5">
      <c r="A17">
        <v>16</v>
      </c>
      <c r="B17" s="6" t="s">
        <v>38</v>
      </c>
      <c r="C17" s="6" t="s">
        <v>21</v>
      </c>
      <c r="D17" s="6" t="s">
        <v>10</v>
      </c>
      <c r="E17" s="5">
        <v>0.12083333333333333</v>
      </c>
    </row>
    <row r="18" spans="1:5">
      <c r="A18">
        <v>17</v>
      </c>
      <c r="B18" s="6" t="s">
        <v>39</v>
      </c>
      <c r="C18" s="6" t="s">
        <v>40</v>
      </c>
      <c r="D18" s="6" t="s">
        <v>10</v>
      </c>
      <c r="E18" s="5">
        <v>0.18402777777777779</v>
      </c>
    </row>
    <row r="19" spans="1:5">
      <c r="A19">
        <v>18</v>
      </c>
      <c r="B19" s="6" t="s">
        <v>41</v>
      </c>
      <c r="C19" s="6" t="s">
        <v>35</v>
      </c>
      <c r="D19" s="6" t="s">
        <v>10</v>
      </c>
      <c r="E19" s="5">
        <v>0.15138888888888888</v>
      </c>
    </row>
    <row r="20" spans="1:5">
      <c r="A20">
        <v>19</v>
      </c>
      <c r="B20" s="6" t="s">
        <v>42</v>
      </c>
      <c r="C20" s="6" t="s">
        <v>43</v>
      </c>
      <c r="D20" s="6" t="s">
        <v>10</v>
      </c>
      <c r="E20" s="5">
        <v>0.12152777777777778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23" sqref="A3:K23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26</v>
      </c>
      <c r="F2" s="1">
        <f t="array" ref="F2">MAX(LENB(Sheet1!C1:'Sheet1'!C30))</f>
        <v>45</v>
      </c>
      <c r="H2" s="1">
        <f t="array" ref="H2">MAX(LENB(Sheet1!D1:'Sheet1'!D30))</f>
        <v>22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</v>
      </c>
      <c r="E3" s="3" t="s">
        <v>0</v>
      </c>
      <c r="F3" t="str">
        <f>" "&amp;LEFTB("Composers"&amp;REPT(" ",$F$2-1),$F$2-1)</f>
        <v xml:space="preserve"> Composers                                   </v>
      </c>
      <c r="G3" s="3" t="s">
        <v>0</v>
      </c>
      <c r="H3" t="str">
        <f>" "&amp;LEFTB("Performer"&amp;REPT(" ",$H$2),$H$2)</f>
        <v xml:space="preserve"> Performer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 </v>
      </c>
      <c r="E4" s="3" t="s">
        <v>0</v>
      </c>
      <c r="F4" t="str">
        <f>" "&amp;REPT("-",$F$2)&amp;" "</f>
        <v xml:space="preserve"> --------------------------------------------- </v>
      </c>
      <c r="G4" s="3" t="s">
        <v>0</v>
      </c>
      <c r="H4" t="str">
        <f>" "&amp;REPT("-",$H$2)&amp;" "</f>
        <v xml:space="preserve"> 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STANKA POOH               </v>
      </c>
      <c r="E5" s="3" t="s">
        <v>0</v>
      </c>
      <c r="F5" t="str">
        <f>" "&amp;LEFTB(Sheet1!C2&amp;REPT(" ",$F$2),$F$2)</f>
        <v xml:space="preserve"> Kalon Berry / Jaylah Hickmon / Devin Williams</v>
      </c>
      <c r="G5" s="3" t="s">
        <v>0</v>
      </c>
      <c r="H5" t="str">
        <f>LEFTB(Sheet1!D2&amp;REPT(" ",$H$2),$H$2)</f>
        <v xml:space="preserve">Doechii               </v>
      </c>
      <c r="I5" s="3" t="s">
        <v>0</v>
      </c>
      <c r="J5" s="2" t="str">
        <f>TEXT(Sheet1!E2,"HH:MM")&amp;" "</f>
        <v xml:space="preserve">02:01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BULLFROG                  </v>
      </c>
      <c r="E6" s="3" t="s">
        <v>0</v>
      </c>
      <c r="F6" t="str">
        <f>" "&amp;LEFTB(Sheet1!C3&amp;REPT(" ",$F$2),$F$2)</f>
        <v xml:space="preserve"> Mai Ankri / Jaylah Hickmon / Matthew Moleta  </v>
      </c>
      <c r="G6" s="3" t="s">
        <v>0</v>
      </c>
      <c r="H6" t="str">
        <f>LEFTB(Sheet1!D3&amp;REPT(" ",$H$2),$H$2)</f>
        <v xml:space="preserve">Doechii               </v>
      </c>
      <c r="I6" s="3" t="s">
        <v>0</v>
      </c>
      <c r="J6" s="2" t="str">
        <f>TEXT(Sheet1!E3,"HH:MM")&amp;" "</f>
        <v xml:space="preserve">01:34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BOILED PEANUTS            </v>
      </c>
      <c r="E7" s="3" t="s">
        <v>0</v>
      </c>
      <c r="F7" t="str">
        <f>" "&amp;LEFTB(Sheet1!C4&amp;REPT(" ",$F$2),$F$2)</f>
        <v xml:space="preserve"> Jaylah Hickmon                               </v>
      </c>
      <c r="G7" s="3" t="s">
        <v>0</v>
      </c>
      <c r="H7" t="str">
        <f>LEFTB(Sheet1!D4&amp;REPT(" ",$H$2),$H$2)</f>
        <v xml:space="preserve">Doechii               </v>
      </c>
      <c r="I7" s="3" t="s">
        <v>0</v>
      </c>
      <c r="J7" s="2" t="str">
        <f>TEXT(Sheet1!E4,"HH:MM")&amp;" "</f>
        <v xml:space="preserve">02:01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DENIAL IS A RIVER         </v>
      </c>
      <c r="E8" s="3" t="s">
        <v>0</v>
      </c>
      <c r="F8" t="str">
        <f>" "&amp;LEFTB(Sheet1!C5&amp;REPT(" ",$F$2),$F$2)</f>
        <v xml:space="preserve"> Ian Anderson / Joey Hamhock / Jaylah Hickmon </v>
      </c>
      <c r="G8" s="3" t="s">
        <v>0</v>
      </c>
      <c r="H8" t="str">
        <f>LEFTB(Sheet1!D5&amp;REPT(" ",$H$2),$H$2)</f>
        <v xml:space="preserve">Doechii               </v>
      </c>
      <c r="I8" s="3" t="s">
        <v>0</v>
      </c>
      <c r="J8" s="2" t="str">
        <f>TEXT(Sheet1!E5,"HH:MM")&amp;" "</f>
        <v xml:space="preserve">02:39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CATFISH                   </v>
      </c>
      <c r="E9" s="3" t="s">
        <v>0</v>
      </c>
      <c r="F9" t="str">
        <f>" "&amp;LEFTB(Sheet1!C6&amp;REPT(" ",$F$2),$F$2)</f>
        <v xml:space="preserve"> Ahmanti Booker / Jaylah Hickmon              </v>
      </c>
      <c r="G9" s="3" t="s">
        <v>0</v>
      </c>
      <c r="H9" t="str">
        <f>LEFTB(Sheet1!D6&amp;REPT(" ",$H$2),$H$2)</f>
        <v xml:space="preserve">Doechii               </v>
      </c>
      <c r="I9" s="3" t="s">
        <v>0</v>
      </c>
      <c r="J9" s="2" t="str">
        <f>TEXT(Sheet1!E6,"HH:MM")&amp;" "</f>
        <v xml:space="preserve">02:14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SKIPP                     </v>
      </c>
      <c r="E10" s="3" t="s">
        <v>0</v>
      </c>
      <c r="F10" t="str">
        <f>" "&amp;LEFTB(Sheet1!C7&amp;REPT(" ",$F$2),$F$2)</f>
        <v xml:space="preserve"> Ahmanti Booker / Jaylah Hickmon              </v>
      </c>
      <c r="G10" s="3" t="s">
        <v>0</v>
      </c>
      <c r="H10" t="str">
        <f>LEFTB(Sheet1!D7&amp;REPT(" ",$H$2),$H$2)</f>
        <v xml:space="preserve">Doechii               </v>
      </c>
      <c r="I10" s="3" t="s">
        <v>0</v>
      </c>
      <c r="J10" s="2" t="str">
        <f>TEXT(Sheet1!E7,"HH:MM")&amp;" "</f>
        <v xml:space="preserve">01:40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HIDE N SEEK               </v>
      </c>
      <c r="E11" s="3" t="s">
        <v>0</v>
      </c>
      <c r="F11" t="str">
        <f>" "&amp;LEFTB(Sheet1!C8&amp;REPT(" ",$F$2),$F$2)</f>
        <v xml:space="preserve"> Kalon Berry / Jaylah Hickmon                 </v>
      </c>
      <c r="G11" s="3" t="s">
        <v>0</v>
      </c>
      <c r="H11" t="str">
        <f>LEFTB(Sheet1!D8&amp;REPT(" ",$H$2),$H$2)</f>
        <v xml:space="preserve">Doechii               </v>
      </c>
      <c r="I11" s="3" t="s">
        <v>0</v>
      </c>
      <c r="J11" s="2" t="str">
        <f>TEXT(Sheet1!E8,"HH:MM")&amp;" "</f>
        <v xml:space="preserve">02:29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BLOOM                     </v>
      </c>
      <c r="E12" s="3" t="s">
        <v>0</v>
      </c>
      <c r="F12" t="str">
        <f>" "&amp;LEFTB(Sheet1!C9&amp;REPT(" ",$F$2),$F$2)</f>
        <v xml:space="preserve"> Jaylah Hickmon / JaydaLove                   </v>
      </c>
      <c r="G12" s="3" t="s">
        <v>0</v>
      </c>
      <c r="H12" t="str">
        <f>LEFTB(Sheet1!D9&amp;REPT(" ",$H$2),$H$2)</f>
        <v xml:space="preserve">Doechii               </v>
      </c>
      <c r="I12" s="3" t="s">
        <v>0</v>
      </c>
      <c r="J12" s="2" t="str">
        <f>TEXT(Sheet1!E9,"HH:MM")&amp;" "</f>
        <v xml:space="preserve">02:13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WAIT                      </v>
      </c>
      <c r="E13" s="3" t="s">
        <v>0</v>
      </c>
      <c r="F13" t="str">
        <f>" "&amp;LEFTB(Sheet1!C10&amp;REPT(" ",$F$2),$F$2)</f>
        <v xml:space="preserve"> Dylvinci / Jaylah Hickmon / Henry Was        </v>
      </c>
      <c r="G13" s="3" t="s">
        <v>0</v>
      </c>
      <c r="H13" t="str">
        <f>LEFTB(Sheet1!D10&amp;REPT(" ",$H$2),$H$2)</f>
        <v xml:space="preserve">Doechii               </v>
      </c>
      <c r="I13" s="3" t="s">
        <v>0</v>
      </c>
      <c r="J13" s="2" t="str">
        <f>TEXT(Sheet1!E10,"HH:MM")&amp;" "</f>
        <v xml:space="preserve">03:04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DEATH ROLL                </v>
      </c>
      <c r="E14" s="3" t="s">
        <v>0</v>
      </c>
      <c r="F14" t="str">
        <f>" "&amp;LEFTB(Sheet1!C11&amp;REPT(" ",$F$2),$F$2)</f>
        <v xml:space="preserve"> Jaylah Hickmon / Malik Sanders               </v>
      </c>
      <c r="G14" s="3" t="s">
        <v>0</v>
      </c>
      <c r="H14" t="str">
        <f>LEFTB(Sheet1!D11&amp;REPT(" ",$H$2),$H$2)</f>
        <v xml:space="preserve">Doechii               </v>
      </c>
      <c r="I14" s="3" t="s">
        <v>0</v>
      </c>
      <c r="J14" s="2" t="str">
        <f>TEXT(Sheet1!E11,"HH:MM")&amp;" "</f>
        <v xml:space="preserve">02:19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PROFIT                    </v>
      </c>
      <c r="E15" s="3" t="s">
        <v>0</v>
      </c>
      <c r="F15" t="str">
        <f>" "&amp;LEFTB(Sheet1!C12&amp;REPT(" ",$F$2),$F$2)</f>
        <v xml:space="preserve"> David Duodu / Mike Hector / Jaylah Hickmon   </v>
      </c>
      <c r="G15" s="3" t="s">
        <v>0</v>
      </c>
      <c r="H15" t="str">
        <f>LEFTB(Sheet1!D12&amp;REPT(" ",$H$2),$H$2)</f>
        <v xml:space="preserve">Doechii               </v>
      </c>
      <c r="I15" s="3" t="s">
        <v>0</v>
      </c>
      <c r="J15" s="2" t="str">
        <f>TEXT(Sheet1!E12,"HH:MM")&amp;" "</f>
        <v xml:space="preserve">01:35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BOOM BAP                  </v>
      </c>
      <c r="E16" s="3" t="s">
        <v>0</v>
      </c>
      <c r="F16" t="str">
        <f>" "&amp;LEFTB(Sheet1!C13&amp;REPT(" ",$F$2),$F$2)</f>
        <v xml:space="preserve"> Darhyl Camper / Jaylah Hickmon / Darius Scott</v>
      </c>
      <c r="G16" s="3" t="s">
        <v>0</v>
      </c>
      <c r="H16" t="str">
        <f>LEFTB(Sheet1!D13&amp;REPT(" ",$H$2),$H$2)</f>
        <v xml:space="preserve">Doechii               </v>
      </c>
      <c r="I16" s="3" t="s">
        <v>0</v>
      </c>
      <c r="J16" s="2" t="str">
        <f>TEXT(Sheet1!E13,"HH:MM")&amp;" "</f>
        <v xml:space="preserve">02:14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NISSAN ALTIMA             </v>
      </c>
      <c r="E17" s="3" t="s">
        <v>0</v>
      </c>
      <c r="F17" t="str">
        <f>" "&amp;LEFTB(Sheet1!C14&amp;REPT(" ",$F$2),$F$2)</f>
        <v xml:space="preserve"> Jaylah Hickmon / Marcus Alandrus Randle      </v>
      </c>
      <c r="G17" s="3" t="s">
        <v>0</v>
      </c>
      <c r="H17" t="str">
        <f>LEFTB(Sheet1!D14&amp;REPT(" ",$H$2),$H$2)</f>
        <v xml:space="preserve">Doechii               </v>
      </c>
      <c r="I17" s="3" t="s">
        <v>0</v>
      </c>
      <c r="J17" s="2" t="str">
        <f>TEXT(Sheet1!E14,"HH:MM")&amp;" "</f>
        <v xml:space="preserve">02:08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GTFO                      </v>
      </c>
      <c r="E18" s="3" t="s">
        <v>0</v>
      </c>
      <c r="F18" t="str">
        <f>" "&amp;LEFTB(Sheet1!C15&amp;REPT(" ",$F$2),$F$2)</f>
        <v xml:space="preserve"> Jaylah Hickmon / Devin Williams              </v>
      </c>
      <c r="G18" s="3" t="s">
        <v>0</v>
      </c>
      <c r="H18" t="str">
        <f>LEFTB(Sheet1!D15&amp;REPT(" ",$H$2),$H$2)</f>
        <v>Doechii and Kuntfetish</v>
      </c>
      <c r="I18" s="3" t="s">
        <v>0</v>
      </c>
      <c r="J18" s="2" t="str">
        <f>TEXT(Sheet1!E15,"HH:MM")&amp;" "</f>
        <v xml:space="preserve">02:40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HUH!                      </v>
      </c>
      <c r="E19" s="3" t="s">
        <v>0</v>
      </c>
      <c r="F19" t="str">
        <f>" "&amp;LEFTB(Sheet1!C16&amp;REPT(" ",$F$2),$F$2)</f>
        <v xml:space="preserve"> Jaylah Hickmon / Devin Williams              </v>
      </c>
      <c r="G19" s="3" t="s">
        <v>0</v>
      </c>
      <c r="H19" t="str">
        <f>LEFTB(Sheet1!D16&amp;REPT(" ",$H$2),$H$2)</f>
        <v xml:space="preserve">Doechii               </v>
      </c>
      <c r="I19" s="3" t="s">
        <v>0</v>
      </c>
      <c r="J19" s="2" t="str">
        <f>TEXT(Sheet1!E16,"HH:MM")&amp;" "</f>
        <v xml:space="preserve">02:16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SLIDE                     </v>
      </c>
      <c r="E20" s="3" t="s">
        <v>0</v>
      </c>
      <c r="F20" t="str">
        <f>" "&amp;LEFTB(Sheet1!C17&amp;REPT(" ",$F$2),$F$2)</f>
        <v xml:space="preserve"> Kalon Berry / Jaylah Hickmon                 </v>
      </c>
      <c r="G20" s="3" t="s">
        <v>0</v>
      </c>
      <c r="H20" t="str">
        <f>LEFTB(Sheet1!D17&amp;REPT(" ",$H$2),$H$2)</f>
        <v xml:space="preserve">Doechii               </v>
      </c>
      <c r="I20" s="3" t="s">
        <v>0</v>
      </c>
      <c r="J20" s="2" t="str">
        <f>TEXT(Sheet1!E17,"HH:MM")&amp;" "</f>
        <v xml:space="preserve">02:54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FIREFLIES                 </v>
      </c>
      <c r="E21" s="3" t="s">
        <v>0</v>
      </c>
      <c r="F21" t="str">
        <f>" "&amp;LEFTB(Sheet1!C18&amp;REPT(" ",$F$2),$F$2)</f>
        <v xml:space="preserve"> Monte Booker / Jaylah Hickmon / Sader        </v>
      </c>
      <c r="G21" s="3" t="s">
        <v>0</v>
      </c>
      <c r="H21" t="str">
        <f>LEFTB(Sheet1!D18&amp;REPT(" ",$H$2),$H$2)</f>
        <v xml:space="preserve">Doechii               </v>
      </c>
      <c r="I21" s="3" t="s">
        <v>0</v>
      </c>
      <c r="J21" s="2" t="str">
        <f>TEXT(Sheet1!E18,"HH:MM")&amp;" "</f>
        <v xml:space="preserve">04:25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BEVERLY HILLS             </v>
      </c>
      <c r="E22" s="3" t="s">
        <v>0</v>
      </c>
      <c r="F22" t="str">
        <f>" "&amp;LEFTB(Sheet1!C19&amp;REPT(" ",$F$2),$F$2)</f>
        <v xml:space="preserve"> Jaylah Hickmon / Devin Williams              </v>
      </c>
      <c r="G22" s="3" t="s">
        <v>0</v>
      </c>
      <c r="H22" t="str">
        <f>LEFTB(Sheet1!D19&amp;REPT(" ",$H$2),$H$2)</f>
        <v xml:space="preserve">Doechii               </v>
      </c>
      <c r="I22" s="3" t="s">
        <v>0</v>
      </c>
      <c r="J22" s="2" t="str">
        <f>TEXT(Sheet1!E19,"HH:MM")&amp;" "</f>
        <v xml:space="preserve">03:38 </v>
      </c>
      <c r="K22" s="3" t="s">
        <v>0</v>
      </c>
    </row>
    <row r="23" spans="1:11">
      <c r="A23" t="s">
        <v>0</v>
      </c>
      <c r="B23">
        <f>Sheet1!A20</f>
        <v>19</v>
      </c>
      <c r="C23" s="3" t="s">
        <v>0</v>
      </c>
      <c r="D23" t="str">
        <f>LEFTB(Sheet1!B20&amp;REPT(" ",$D$2),$D$2)</f>
        <v>ALLIGATOR BITES NEVER HEAL</v>
      </c>
      <c r="E23" s="3" t="s">
        <v>0</v>
      </c>
      <c r="F23" t="str">
        <f>" "&amp;LEFTB(Sheet1!C20&amp;REPT(" ",$F$2),$F$2)</f>
        <v xml:space="preserve"> Miles Franklin / Jaylah Hickmon              </v>
      </c>
      <c r="G23" s="3" t="s">
        <v>0</v>
      </c>
      <c r="H23" t="str">
        <f>LEFTB(Sheet1!D20&amp;REPT(" ",$H$2),$H$2)</f>
        <v xml:space="preserve">Doechii               </v>
      </c>
      <c r="I23" s="3" t="s">
        <v>0</v>
      </c>
      <c r="J23" s="2" t="str">
        <f>TEXT(Sheet1!E20,"HH:MM")&amp;" "</f>
        <v xml:space="preserve">02:55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</v>
      </c>
      <c r="E24" s="3" t="s">
        <v>0</v>
      </c>
      <c r="F24" t="str">
        <f>" "&amp;LEFTB(Sheet1!C21&amp;REPT(" ",$F$2),$F$2)</f>
        <v xml:space="preserve">                                              </v>
      </c>
      <c r="G24" s="3" t="s">
        <v>0</v>
      </c>
      <c r="H24" t="str">
        <f>LEFTB(Sheet1!D21&amp;REPT(" ",$H$2),$H$2)</f>
        <v xml:space="preserve">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</v>
      </c>
      <c r="E25" s="3" t="s">
        <v>0</v>
      </c>
      <c r="F25" t="str">
        <f>" "&amp;LEFTB(Sheet1!C22&amp;REPT(" ",$F$2),$F$2)</f>
        <v xml:space="preserve">                                              </v>
      </c>
      <c r="G25" s="3" t="s">
        <v>0</v>
      </c>
      <c r="H25" t="str">
        <f>LEFTB(Sheet1!D22&amp;REPT(" ",$H$2),$H$2)</f>
        <v xml:space="preserve">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</v>
      </c>
      <c r="E26" s="3" t="s">
        <v>0</v>
      </c>
      <c r="F26" t="str">
        <f>" "&amp;LEFTB(Sheet1!C23&amp;REPT(" ",$F$2),$F$2)</f>
        <v xml:space="preserve">                                              </v>
      </c>
      <c r="G26" s="3" t="s">
        <v>0</v>
      </c>
      <c r="H26" t="str">
        <f>LEFTB(Sheet1!D23&amp;REPT(" ",$H$2),$H$2)</f>
        <v xml:space="preserve">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</v>
      </c>
      <c r="E27" s="3" t="s">
        <v>0</v>
      </c>
      <c r="F27" t="str">
        <f>" "&amp;LEFTB(Sheet1!C24&amp;REPT(" ",$F$2),$F$2)</f>
        <v xml:space="preserve">                                              </v>
      </c>
      <c r="G27" s="3" t="s">
        <v>0</v>
      </c>
      <c r="H27" t="str">
        <f>LEFTB(Sheet1!D24&amp;REPT(" ",$H$2),$H$2)</f>
        <v xml:space="preserve">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</v>
      </c>
      <c r="E28" s="3" t="s">
        <v>0</v>
      </c>
      <c r="F28" t="str">
        <f>" "&amp;LEFTB(Sheet1!C25&amp;REPT(" ",$F$2),$F$2)</f>
        <v xml:space="preserve">                                              </v>
      </c>
      <c r="G28" s="3" t="s">
        <v>0</v>
      </c>
      <c r="H28" t="str">
        <f>LEFTB(Sheet1!D25&amp;REPT(" ",$H$2),$H$2)</f>
        <v xml:space="preserve">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</v>
      </c>
      <c r="E29" s="3" t="s">
        <v>0</v>
      </c>
      <c r="F29" t="str">
        <f>" "&amp;LEFTB(Sheet1!C26&amp;REPT(" ",$F$2),$F$2)</f>
        <v xml:space="preserve">                                              </v>
      </c>
      <c r="G29" s="3" t="s">
        <v>0</v>
      </c>
      <c r="H29" t="str">
        <f>LEFTB(Sheet1!D26&amp;REPT(" ",$H$2),$H$2)</f>
        <v xml:space="preserve">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</v>
      </c>
      <c r="E30" s="3" t="s">
        <v>0</v>
      </c>
      <c r="F30" t="str">
        <f>" "&amp;LEFTB(Sheet1!C27&amp;REPT(" ",$F$2),$F$2)</f>
        <v xml:space="preserve">                                              </v>
      </c>
      <c r="G30" s="3" t="s">
        <v>0</v>
      </c>
      <c r="H30" t="str">
        <f>LEFTB(Sheet1!D27&amp;REPT(" ",$H$2),$H$2)</f>
        <v xml:space="preserve">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4C9B3-9D7B-41BE-8DBF-B7E973EBDA5D}">
  <dimension ref="A1:E20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30.54296875" bestFit="1" customWidth="1"/>
    <col min="3" max="3" width="44.1796875" bestFit="1" customWidth="1"/>
    <col min="4" max="4" width="21.4531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8.4027777777777785E-2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6.5277777777777782E-2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8.4027777777777785E-2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0.11041666666666666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9.3055555555555558E-2</v>
      </c>
    </row>
    <row r="7" spans="1:5">
      <c r="A7">
        <v>6</v>
      </c>
      <c r="B7" s="6" t="s">
        <v>19</v>
      </c>
      <c r="C7" s="6" t="s">
        <v>18</v>
      </c>
      <c r="D7" s="6" t="s">
        <v>10</v>
      </c>
      <c r="E7" s="5">
        <v>6.9444444444444448E-2</v>
      </c>
    </row>
    <row r="8" spans="1:5">
      <c r="A8">
        <v>7</v>
      </c>
      <c r="B8" s="6" t="s">
        <v>20</v>
      </c>
      <c r="C8" s="6" t="s">
        <v>21</v>
      </c>
      <c r="D8" s="6" t="s">
        <v>10</v>
      </c>
      <c r="E8" s="5">
        <v>0.10347222222222222</v>
      </c>
    </row>
    <row r="9" spans="1:5">
      <c r="A9">
        <v>8</v>
      </c>
      <c r="B9" s="6" t="s">
        <v>22</v>
      </c>
      <c r="C9" s="6" t="s">
        <v>23</v>
      </c>
      <c r="D9" s="6" t="s">
        <v>10</v>
      </c>
      <c r="E9" s="5">
        <v>9.2361111111111116E-2</v>
      </c>
    </row>
    <row r="10" spans="1:5">
      <c r="A10">
        <v>9</v>
      </c>
      <c r="B10" s="6" t="s">
        <v>24</v>
      </c>
      <c r="C10" s="6" t="s">
        <v>25</v>
      </c>
      <c r="D10" s="6" t="s">
        <v>10</v>
      </c>
      <c r="E10" s="5">
        <v>0.12777777777777777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9.6527777777777782E-2</v>
      </c>
    </row>
    <row r="12" spans="1:5">
      <c r="A12">
        <v>11</v>
      </c>
      <c r="B12" s="6" t="s">
        <v>28</v>
      </c>
      <c r="C12" s="6" t="s">
        <v>29</v>
      </c>
      <c r="D12" s="6" t="s">
        <v>10</v>
      </c>
      <c r="E12" s="5">
        <v>6.5972222222222224E-2</v>
      </c>
    </row>
    <row r="13" spans="1:5">
      <c r="A13">
        <v>12</v>
      </c>
      <c r="B13" s="6" t="s">
        <v>30</v>
      </c>
      <c r="C13" s="6" t="s">
        <v>31</v>
      </c>
      <c r="D13" s="6" t="s">
        <v>10</v>
      </c>
      <c r="E13" s="5">
        <v>9.3055555555555558E-2</v>
      </c>
    </row>
    <row r="14" spans="1:5">
      <c r="A14">
        <v>13</v>
      </c>
      <c r="B14" s="6" t="s">
        <v>32</v>
      </c>
      <c r="C14" s="6" t="s">
        <v>33</v>
      </c>
      <c r="D14" s="6" t="s">
        <v>10</v>
      </c>
      <c r="E14" s="5">
        <v>8.8888888888888892E-2</v>
      </c>
    </row>
    <row r="15" spans="1:5">
      <c r="A15">
        <v>14</v>
      </c>
      <c r="B15" s="6" t="s">
        <v>34</v>
      </c>
      <c r="C15" s="6" t="s">
        <v>35</v>
      </c>
      <c r="D15" s="6" t="s">
        <v>36</v>
      </c>
      <c r="E15" s="5">
        <v>0.1111111111111111</v>
      </c>
    </row>
    <row r="16" spans="1:5">
      <c r="A16">
        <v>15</v>
      </c>
      <c r="B16" s="6" t="s">
        <v>37</v>
      </c>
      <c r="C16" s="6" t="s">
        <v>35</v>
      </c>
      <c r="D16" s="6" t="s">
        <v>10</v>
      </c>
      <c r="E16" s="5">
        <v>9.4444444444444442E-2</v>
      </c>
    </row>
    <row r="17" spans="1:5">
      <c r="A17">
        <v>16</v>
      </c>
      <c r="B17" s="6" t="s">
        <v>38</v>
      </c>
      <c r="C17" s="6" t="s">
        <v>21</v>
      </c>
      <c r="D17" s="6" t="s">
        <v>10</v>
      </c>
      <c r="E17" s="5">
        <v>0.12083333333333333</v>
      </c>
    </row>
    <row r="18" spans="1:5">
      <c r="A18">
        <v>17</v>
      </c>
      <c r="B18" s="6" t="s">
        <v>39</v>
      </c>
      <c r="C18" s="6" t="s">
        <v>40</v>
      </c>
      <c r="D18" s="6" t="s">
        <v>10</v>
      </c>
      <c r="E18" s="5">
        <v>0.18402777777777779</v>
      </c>
    </row>
    <row r="19" spans="1:5">
      <c r="A19">
        <v>18</v>
      </c>
      <c r="B19" s="6" t="s">
        <v>41</v>
      </c>
      <c r="C19" s="6" t="s">
        <v>35</v>
      </c>
      <c r="D19" s="6" t="s">
        <v>10</v>
      </c>
      <c r="E19" s="5">
        <v>0.15138888888888888</v>
      </c>
    </row>
    <row r="20" spans="1:5">
      <c r="A20">
        <v>19</v>
      </c>
      <c r="B20" s="6" t="s">
        <v>42</v>
      </c>
      <c r="C20" s="6" t="s">
        <v>43</v>
      </c>
      <c r="D20" s="6" t="s">
        <v>10</v>
      </c>
      <c r="E20" s="5">
        <v>0.12152777777777778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5022-4DA8-434C-B727-641ED80E7680}">
  <dimension ref="E2:E13"/>
  <sheetViews>
    <sheetView workbookViewId="0"/>
  </sheetViews>
  <sheetFormatPr defaultRowHeight="19.8"/>
  <cols>
    <col min="1" max="1" width="11" bestFit="1" customWidth="1"/>
    <col min="2" max="2" width="13.453125" bestFit="1" customWidth="1"/>
    <col min="3" max="3" width="80.90625" bestFit="1" customWidth="1"/>
    <col min="4" max="4" width="33.63281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432-1111-4CF9-8347-8DD720BA9C42}">
  <dimension ref="E2:E15"/>
  <sheetViews>
    <sheetView workbookViewId="0"/>
  </sheetViews>
  <sheetFormatPr defaultRowHeight="19.8"/>
  <cols>
    <col min="1" max="1" width="11" bestFit="1" customWidth="1"/>
    <col min="2" max="2" width="30.453125" bestFit="1" customWidth="1"/>
    <col min="3" max="3" width="80.90625" bestFit="1" customWidth="1"/>
    <col min="4" max="4" width="52.906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9471-B893-452C-A2E5-2BE2DE962EC8}">
  <dimension ref="E2:E20"/>
  <sheetViews>
    <sheetView workbookViewId="0"/>
  </sheetViews>
  <sheetFormatPr defaultRowHeight="19.8"/>
  <cols>
    <col min="1" max="1" width="10.81640625" bestFit="1" customWidth="1"/>
    <col min="2" max="2" width="26" bestFit="1" customWidth="1"/>
    <col min="3" max="3" width="80.81640625" bestFit="1" customWidth="1"/>
    <col min="4" max="4" width="42.8164062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E2:E16"/>
  <sheetViews>
    <sheetView workbookViewId="0">
      <selection sqref="A1:XFD1048576"/>
    </sheetView>
  </sheetViews>
  <sheetFormatPr defaultRowHeight="19.8"/>
  <cols>
    <col min="1" max="1" width="11" bestFit="1" customWidth="1"/>
    <col min="2" max="2" width="20.6328125" bestFit="1" customWidth="1"/>
    <col min="3" max="3" width="80.90625" bestFit="1" customWidth="1"/>
    <col min="4" max="4" width="38.453125" bestFit="1" customWidth="1"/>
    <col min="5" max="5" width="7.8164062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Sheet1</vt:lpstr>
      <vt:lpstr>Sheet2</vt:lpstr>
      <vt:lpstr>テーブル 5 (31)</vt:lpstr>
      <vt:lpstr>テーブル 5 (29)</vt:lpstr>
      <vt:lpstr>テーブル 5 (27)</vt:lpstr>
      <vt:lpstr>テーブル 5 (25)</vt:lpstr>
      <vt:lpstr>テーブル 5 (23)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2025-01-18T07:37:42Z</dcterms:modified>
</cp:coreProperties>
</file>