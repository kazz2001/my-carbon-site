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B09EEE3A-B9A3-4C5F-BCEE-FB51422F9A5F}" xr6:coauthVersionLast="47" xr6:coauthVersionMax="47" xr10:uidLastSave="{00000000-0000-0000-0000-000000000000}"/>
  <bookViews>
    <workbookView xWindow="1170" yWindow="1170" windowWidth="24840" windowHeight="14310" activeTab="1" xr2:uid="{00000000-000D-0000-FFFF-FFFF00000000}"/>
  </bookViews>
  <sheets>
    <sheet name="Sheet1" sheetId="1" r:id="rId1"/>
    <sheet name="Sheet2" sheetId="2" r:id="rId2"/>
    <sheet name="テーブル 5 (43)" sheetId="61" r:id="rId3"/>
    <sheet name="テーブル 5 (33)" sheetId="56" r:id="rId4"/>
  </sheets>
  <definedNames>
    <definedName name="ExternalData_1" localSheetId="0" hidden="1">Sheet1!$A$1:$E$17</definedName>
    <definedName name="ExternalData_1" localSheetId="2" hidden="1">'テーブル 5 (43)'!$A$1:$E$17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19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20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21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22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<sst xmlns="http://schemas.openxmlformats.org/spreadsheetml/2006/main" count="276" uniqueCount="40">
  <si>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</si>
  <si>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</si>
  <si>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</si>
  <si>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</si>
  <si>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</si>
  <si>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</si>
  <si>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</si>
  <si>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No.</t>
  </si>
  <si>
    <t>BLACK.</t>
  </si>
  <si>
    <t>Phil Beaudreau / Marlanna Evans / Lalah Hathaway / Lonnie Lynn</t>
  </si>
  <si>
    <t>Lalah Hathaway feat. Rapsody, Common</t>
  </si>
  <si>
    <t>No Lie</t>
  </si>
  <si>
    <t>Phil Beaudreau / Lalah Hathaway</t>
  </si>
  <si>
    <t>Lalah Hathaway feat. Michael McDonald</t>
  </si>
  <si>
    <t>Mood for You</t>
  </si>
  <si>
    <t>Lalah Hathawa feat. MC Lyte</t>
  </si>
  <si>
    <t>You Don't Know</t>
  </si>
  <si>
    <t>BeMyFiasco / Phil Beaudreau / Phonte Coleman / Lalah Hathaway</t>
  </si>
  <si>
    <t>Lalah Hathaway feat. Phonte</t>
  </si>
  <si>
    <t>Vantablack</t>
  </si>
  <si>
    <t>Juan Andres Carreno Ariza / Lalah Hathaway</t>
  </si>
  <si>
    <t>Lalah Hathaway</t>
  </si>
  <si>
    <t>Returning</t>
  </si>
  <si>
    <t>So in Love</t>
  </si>
  <si>
    <t>I AM</t>
  </si>
  <si>
    <t>Juan Andres Carreno Ariza / Nicole Cohen / Lalah Hathaway</t>
  </si>
  <si>
    <t>The Machine</t>
  </si>
  <si>
    <t>Myth of Being</t>
  </si>
  <si>
    <t>Higher</t>
  </si>
  <si>
    <t>Phil Beaudreau / Lalah Hathaway / Stephanie Thom</t>
  </si>
  <si>
    <t>The Energy</t>
  </si>
  <si>
    <t>#BITMFW</t>
  </si>
  <si>
    <t>Clearly</t>
  </si>
  <si>
    <t>Lower</t>
  </si>
  <si>
    <t>Gerald Albright / Phil Beaudreau / Lalah Hathaway</t>
  </si>
  <si>
    <t>Lalah Hathaway feat. Gerald Albright</t>
  </si>
  <si>
    <t>Tunnels</t>
  </si>
  <si>
    <t>Phil Beaudreau / Lalah Hathaway / Willow Smith</t>
  </si>
  <si>
    <t>Lalah Hathaway feat. Willow</t>
  </si>
  <si>
    <t>Warryn Campbell / Affion Crockett / Eric Dawkins / Lalah Hathaway / Lana                  Moorer / Juan Winans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</si>
</sst>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7" xr16:uid="{ACD6016D-7137-4AAE-83BD-E7764DCCB5E2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6" xr16:uid="{4A80CBC1-307D-449E-955A-82D3DF074F05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736423-15F2-49DB-BBA0-EB44DB34A946}" name="テーブル_5__433" displayName="テーブル_5__433" ref="A1:E17" tableType="queryTable" totalsRowShown="0">
  <autoFilter ref="A1:E17" xr:uid="{52736423-15F2-49DB-BBA0-EB44DB34A946}"/>
  <tableColumns count="5">
    <tableColumn id="1" xr3:uid="{72E905FB-6A49-4B6C-B98A-C36C3FFF6E07}" uniqueName="1" name="No." queryTableFieldId="1"/>
    <tableColumn id="2" xr3:uid="{EE35ED08-C9B7-478C-8589-0BBA0327AC0C}" uniqueName="2" name="Title" queryTableFieldId="2" dataDxfId="3"/>
    <tableColumn id="3" xr3:uid="{895DB750-5126-4FDA-8145-54569DFE258F}" uniqueName="3" name="Composer" queryTableFieldId="3" dataDxfId="2"/>
    <tableColumn id="4" xr3:uid="{F3DDF67B-062B-42BF-B3CB-F91640EF2470}" uniqueName="4" name="Performer" queryTableFieldId="4" dataDxfId="1"/>
    <tableColumn id="5" xr3:uid="{218E411E-7458-4131-8424-E5D7C576537A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D803FE-B98D-4240-AF42-641D2F33614E}" name="テーブル_5__43" displayName="テーブル_5__43" ref="A1:E17" tableType="queryTable" totalsRowShown="0">
  <autoFilter ref="A1:E17" xr:uid="{20D803FE-B98D-4240-AF42-641D2F33614E}"/>
  <tableColumns count="5">
    <tableColumn id="1" xr3:uid="{71C36B62-0A10-41BC-9EDA-3E1CD750FE05}" uniqueName="1" name="No." queryTableFieldId="1"/>
    <tableColumn id="2" xr3:uid="{8CA727B6-77BB-4E1C-89CD-54C77928A1E4}" uniqueName="2" name="Title" queryTableFieldId="2" dataDxfId="7"/>
    <tableColumn id="3" xr3:uid="{D08FEF47-60C8-4690-B2FE-2D6D526DCEAB}" uniqueName="3" name="Composer" queryTableFieldId="3" dataDxfId="6"/>
    <tableColumn id="4" xr3:uid="{0A1487FA-FC23-4709-ADDD-703F99271C41}" uniqueName="4" name="Performer" queryTableFieldId="4" dataDxfId="5"/>
    <tableColumn id="5" xr3:uid="{E55A6012-AE22-4624-871A-50212CA2E02D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sqref="A1:XFD1048576"/>
    </sheetView>
  </sheetViews>
  <sheetFormatPr defaultRowHeight="19.5"/>
  <cols>
    <col min="1" max="1" width="6.21875" bestFit="1" customWidth="1"/>
    <col min="2" max="2" width="15.21875" bestFit="1" customWidth="1"/>
    <col min="3" max="3" width="80.88671875" bestFit="1" customWidth="1"/>
    <col min="4" max="4" width="37.5546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0.10902777777777778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0.18680555555555556</v>
      </c>
    </row>
    <row r="4" spans="1:5">
      <c r="A4">
        <v>3</v>
      </c>
      <c r="B4" s="6" t="s">
        <v>14</v>
      </c>
      <c r="C4" s="6" t="s">
        <v>39</v>
      </c>
      <c r="D4" s="6" t="s">
        <v>15</v>
      </c>
      <c r="E4" s="5">
        <v>0.16319444444444445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9.6527777777777782E-2</v>
      </c>
    </row>
    <row r="6" spans="1:5">
      <c r="A6">
        <v>5</v>
      </c>
      <c r="B6" s="6" t="s">
        <v>19</v>
      </c>
      <c r="C6" s="6" t="s">
        <v>20</v>
      </c>
      <c r="D6" s="6" t="s">
        <v>21</v>
      </c>
      <c r="E6" s="5">
        <v>0.10902777777777778</v>
      </c>
    </row>
    <row r="7" spans="1:5">
      <c r="A7">
        <v>6</v>
      </c>
      <c r="B7" s="6" t="s">
        <v>22</v>
      </c>
      <c r="C7" s="6" t="s">
        <v>20</v>
      </c>
      <c r="D7" s="6" t="s">
        <v>21</v>
      </c>
      <c r="E7" s="5">
        <v>0.20416666666666666</v>
      </c>
    </row>
    <row r="8" spans="1:5">
      <c r="A8">
        <v>7</v>
      </c>
      <c r="B8" s="6" t="s">
        <v>23</v>
      </c>
      <c r="C8" s="6" t="s">
        <v>12</v>
      </c>
      <c r="D8" s="6" t="s">
        <v>21</v>
      </c>
      <c r="E8" s="5">
        <v>0.17083333333333334</v>
      </c>
    </row>
    <row r="9" spans="1:5">
      <c r="A9">
        <v>8</v>
      </c>
      <c r="B9" s="6" t="s">
        <v>24</v>
      </c>
      <c r="C9" s="6" t="s">
        <v>25</v>
      </c>
      <c r="D9" s="6" t="s">
        <v>21</v>
      </c>
      <c r="E9" s="5">
        <v>0.12222222222222222</v>
      </c>
    </row>
    <row r="10" spans="1:5">
      <c r="A10">
        <v>9</v>
      </c>
      <c r="B10" s="6" t="s">
        <v>26</v>
      </c>
      <c r="C10" s="6" t="s">
        <v>20</v>
      </c>
      <c r="D10" s="6" t="s">
        <v>21</v>
      </c>
      <c r="E10" s="5">
        <v>0.11319444444444444</v>
      </c>
    </row>
    <row r="11" spans="1:5">
      <c r="A11">
        <v>10</v>
      </c>
      <c r="B11" s="6" t="s">
        <v>27</v>
      </c>
      <c r="C11" s="6" t="s">
        <v>25</v>
      </c>
      <c r="D11" s="6" t="s">
        <v>21</v>
      </c>
      <c r="E11" s="5">
        <v>0.1388888888888889</v>
      </c>
    </row>
    <row r="12" spans="1:5">
      <c r="A12">
        <v>11</v>
      </c>
      <c r="B12" s="6" t="s">
        <v>28</v>
      </c>
      <c r="C12" s="6" t="s">
        <v>29</v>
      </c>
      <c r="D12" s="6" t="s">
        <v>21</v>
      </c>
      <c r="E12" s="5">
        <v>0.15763888888888888</v>
      </c>
    </row>
    <row r="13" spans="1:5">
      <c r="A13">
        <v>12</v>
      </c>
      <c r="B13" s="6" t="s">
        <v>30</v>
      </c>
      <c r="C13" s="6" t="s">
        <v>25</v>
      </c>
      <c r="D13" s="6" t="s">
        <v>21</v>
      </c>
      <c r="E13" s="5">
        <v>0.15277777777777779</v>
      </c>
    </row>
    <row r="14" spans="1:5">
      <c r="A14">
        <v>13</v>
      </c>
      <c r="B14" s="6" t="s">
        <v>31</v>
      </c>
      <c r="C14" s="6" t="s">
        <v>12</v>
      </c>
      <c r="D14" s="6" t="s">
        <v>21</v>
      </c>
      <c r="E14" s="5">
        <v>0.12152777777777778</v>
      </c>
    </row>
    <row r="15" spans="1:5">
      <c r="A15">
        <v>14</v>
      </c>
      <c r="B15" s="6" t="s">
        <v>32</v>
      </c>
      <c r="C15" s="6" t="s">
        <v>12</v>
      </c>
      <c r="D15" s="6" t="s">
        <v>21</v>
      </c>
      <c r="E15" s="5">
        <v>0.17916666666666667</v>
      </c>
    </row>
    <row r="16" spans="1:5">
      <c r="A16">
        <v>15</v>
      </c>
      <c r="B16" s="6" t="s">
        <v>33</v>
      </c>
      <c r="C16" s="6" t="s">
        <v>34</v>
      </c>
      <c r="D16" s="6" t="s">
        <v>35</v>
      </c>
      <c r="E16" s="5">
        <v>7.9861111111111105E-2</v>
      </c>
    </row>
    <row r="17" spans="1:5">
      <c r="A17">
        <v>16</v>
      </c>
      <c r="B17" s="6" t="s">
        <v>36</v>
      </c>
      <c r="C17" s="6" t="s">
        <v>37</v>
      </c>
      <c r="D17" s="6" t="s">
        <v>38</v>
      </c>
      <c r="E17" s="5">
        <v>0.17499999999999999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20" sqref="A3:K20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14</v>
      </c>
      <c r="F2" s="1">
        <f t="array" ref="F2">MAX(LENB(Sheet1!C1:'Sheet1'!C30))</f>
        <v>110</v>
      </c>
      <c r="H2" s="1">
        <f t="array" ref="H2">MAX(LENB(Sheet1!D1:'Sheet1'!D30))</f>
        <v>37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BLACK.        </v>
      </c>
      <c r="E5" s="3" t="s">
        <v>0</v>
      </c>
      <c r="F5" t="str">
        <f>" "&amp;LEFTB(Sheet1!C2&amp;REPT(" ",$F$2),$F$2)</f>
        <v xml:space="preserve"> Phil Beaudreau / Marlanna Evans / Lalah Hathaway / Lonnie Lynn                                                </v>
      </c>
      <c r="G5" s="3" t="s">
        <v>0</v>
      </c>
      <c r="H5" t="str">
        <f>LEFTB(Sheet1!D2&amp;REPT(" ",$H$2),$H$2)</f>
        <v xml:space="preserve">Lalah Hathaway feat. Rapsody, Common </v>
      </c>
      <c r="I5" s="3" t="s">
        <v>0</v>
      </c>
      <c r="J5" s="2" t="str">
        <f>TEXT(Sheet1!E2,"HH:MM")&amp;" "</f>
        <v xml:space="preserve">02:37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No Lie        </v>
      </c>
      <c r="E6" s="3" t="s">
        <v>0</v>
      </c>
      <c r="F6" t="str">
        <f>" "&amp;LEFTB(Sheet1!C3&amp;REPT(" ",$F$2),$F$2)</f>
        <v xml:space="preserve"> Phil Beaudreau / Lalah Hathaway                                                                               </v>
      </c>
      <c r="G6" s="3" t="s">
        <v>0</v>
      </c>
      <c r="H6" t="str">
        <f>LEFTB(Sheet1!D3&amp;REPT(" ",$H$2),$H$2)</f>
        <v>Lalah Hathaway feat. Michael McDonald</v>
      </c>
      <c r="I6" s="3" t="s">
        <v>0</v>
      </c>
      <c r="J6" s="2" t="str">
        <f>TEXT(Sheet1!E3,"HH:MM")&amp;" "</f>
        <v xml:space="preserve">04:29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Mood for You  </v>
      </c>
      <c r="E7" s="3" t="s">
        <v>0</v>
      </c>
      <c r="F7" t="str">
        <f>" "&amp;LEFTB(Sheet1!C4&amp;REPT(" ",$F$2),$F$2)</f>
        <v xml:space="preserve"> Warryn Campbell / Affion Crockett / Eric Dawkins / Lalah Hathaway / Lana                  Moorer / Juan Winans</v>
      </c>
      <c r="G7" s="3" t="s">
        <v>0</v>
      </c>
      <c r="H7" t="str">
        <f>LEFTB(Sheet1!D4&amp;REPT(" ",$H$2),$H$2)</f>
        <v xml:space="preserve">Lalah Hathawa feat. MC Lyte          </v>
      </c>
      <c r="I7" s="3" t="s">
        <v>0</v>
      </c>
      <c r="J7" s="2" t="str">
        <f>TEXT(Sheet1!E4,"HH:MM")&amp;" "</f>
        <v xml:space="preserve">03:55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>You Don't Know</v>
      </c>
      <c r="E8" s="3" t="s">
        <v>0</v>
      </c>
      <c r="F8" t="str">
        <f>" "&amp;LEFTB(Sheet1!C5&amp;REPT(" ",$F$2),$F$2)</f>
        <v xml:space="preserve"> BeMyFiasco / Phil Beaudreau / Phonte Coleman / Lalah Hathaway                                                 </v>
      </c>
      <c r="G8" s="3" t="s">
        <v>0</v>
      </c>
      <c r="H8" t="str">
        <f>LEFTB(Sheet1!D5&amp;REPT(" ",$H$2),$H$2)</f>
        <v xml:space="preserve">Lalah Hathaway feat. Phonte          </v>
      </c>
      <c r="I8" s="3" t="s">
        <v>0</v>
      </c>
      <c r="J8" s="2" t="str">
        <f>TEXT(Sheet1!E5,"HH:MM")&amp;" "</f>
        <v xml:space="preserve">02:19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Vantablack    </v>
      </c>
      <c r="E9" s="3" t="s">
        <v>0</v>
      </c>
      <c r="F9" t="str">
        <f>" "&amp;LEFTB(Sheet1!C6&amp;REPT(" ",$F$2),$F$2)</f>
        <v xml:space="preserve"> Juan Andres Carreno Ariza / Lalah Hathaway                                                                    </v>
      </c>
      <c r="G9" s="3" t="s">
        <v>0</v>
      </c>
      <c r="H9" t="str">
        <f>LEFTB(Sheet1!D6&amp;REPT(" ",$H$2),$H$2)</f>
        <v xml:space="preserve">Lalah Hathaway                       </v>
      </c>
      <c r="I9" s="3" t="s">
        <v>0</v>
      </c>
      <c r="J9" s="2" t="str">
        <f>TEXT(Sheet1!E6,"HH:MM")&amp;" "</f>
        <v xml:space="preserve">02:37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Returning     </v>
      </c>
      <c r="E10" s="3" t="s">
        <v>0</v>
      </c>
      <c r="F10" t="str">
        <f>" "&amp;LEFTB(Sheet1!C7&amp;REPT(" ",$F$2),$F$2)</f>
        <v xml:space="preserve"> Juan Andres Carreno Ariza / Lalah Hathaway                                                                    </v>
      </c>
      <c r="G10" s="3" t="s">
        <v>0</v>
      </c>
      <c r="H10" t="str">
        <f>LEFTB(Sheet1!D7&amp;REPT(" ",$H$2),$H$2)</f>
        <v xml:space="preserve">Lalah Hathaway                       </v>
      </c>
      <c r="I10" s="3" t="s">
        <v>0</v>
      </c>
      <c r="J10" s="2" t="str">
        <f>TEXT(Sheet1!E7,"HH:MM")&amp;" "</f>
        <v xml:space="preserve">04:54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So in Love    </v>
      </c>
      <c r="E11" s="3" t="s">
        <v>0</v>
      </c>
      <c r="F11" t="str">
        <f>" "&amp;LEFTB(Sheet1!C8&amp;REPT(" ",$F$2),$F$2)</f>
        <v xml:space="preserve"> Phil Beaudreau / Lalah Hathaway                                                                               </v>
      </c>
      <c r="G11" s="3" t="s">
        <v>0</v>
      </c>
      <c r="H11" t="str">
        <f>LEFTB(Sheet1!D8&amp;REPT(" ",$H$2),$H$2)</f>
        <v xml:space="preserve">Lalah Hathaway                       </v>
      </c>
      <c r="I11" s="3" t="s">
        <v>0</v>
      </c>
      <c r="J11" s="2" t="str">
        <f>TEXT(Sheet1!E8,"HH:MM")&amp;" "</f>
        <v xml:space="preserve">04:06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I AM          </v>
      </c>
      <c r="E12" s="3" t="s">
        <v>0</v>
      </c>
      <c r="F12" t="str">
        <f>" "&amp;LEFTB(Sheet1!C9&amp;REPT(" ",$F$2),$F$2)</f>
        <v xml:space="preserve"> Juan Andres Carreno Ariza / Nicole Cohen / Lalah Hathaway                                                     </v>
      </c>
      <c r="G12" s="3" t="s">
        <v>0</v>
      </c>
      <c r="H12" t="str">
        <f>LEFTB(Sheet1!D9&amp;REPT(" ",$H$2),$H$2)</f>
        <v xml:space="preserve">Lalah Hathaway                       </v>
      </c>
      <c r="I12" s="3" t="s">
        <v>0</v>
      </c>
      <c r="J12" s="2" t="str">
        <f>TEXT(Sheet1!E9,"HH:MM")&amp;" "</f>
        <v xml:space="preserve">02:56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The Machine   </v>
      </c>
      <c r="E13" s="3" t="s">
        <v>0</v>
      </c>
      <c r="F13" t="str">
        <f>" "&amp;LEFTB(Sheet1!C10&amp;REPT(" ",$F$2),$F$2)</f>
        <v xml:space="preserve"> Juan Andres Carreno Ariza / Lalah Hathaway                                                                    </v>
      </c>
      <c r="G13" s="3" t="s">
        <v>0</v>
      </c>
      <c r="H13" t="str">
        <f>LEFTB(Sheet1!D10&amp;REPT(" ",$H$2),$H$2)</f>
        <v xml:space="preserve">Lalah Hathaway                       </v>
      </c>
      <c r="I13" s="3" t="s">
        <v>0</v>
      </c>
      <c r="J13" s="2" t="str">
        <f>TEXT(Sheet1!E10,"HH:MM")&amp;" "</f>
        <v xml:space="preserve">02:43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Myth of Being </v>
      </c>
      <c r="E14" s="3" t="s">
        <v>0</v>
      </c>
      <c r="F14" t="str">
        <f>" "&amp;LEFTB(Sheet1!C11&amp;REPT(" ",$F$2),$F$2)</f>
        <v xml:space="preserve"> Juan Andres Carreno Ariza / Nicole Cohen / Lalah Hathaway                                                     </v>
      </c>
      <c r="G14" s="3" t="s">
        <v>0</v>
      </c>
      <c r="H14" t="str">
        <f>LEFTB(Sheet1!D11&amp;REPT(" ",$H$2),$H$2)</f>
        <v xml:space="preserve">Lalah Hathaway                       </v>
      </c>
      <c r="I14" s="3" t="s">
        <v>0</v>
      </c>
      <c r="J14" s="2" t="str">
        <f>TEXT(Sheet1!E11,"HH:MM")&amp;" "</f>
        <v xml:space="preserve">03:20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Higher        </v>
      </c>
      <c r="E15" s="3" t="s">
        <v>0</v>
      </c>
      <c r="F15" t="str">
        <f>" "&amp;LEFTB(Sheet1!C12&amp;REPT(" ",$F$2),$F$2)</f>
        <v xml:space="preserve"> Phil Beaudreau / Lalah Hathaway / Stephanie Thom                                                              </v>
      </c>
      <c r="G15" s="3" t="s">
        <v>0</v>
      </c>
      <c r="H15" t="str">
        <f>LEFTB(Sheet1!D12&amp;REPT(" ",$H$2),$H$2)</f>
        <v xml:space="preserve">Lalah Hathaway                       </v>
      </c>
      <c r="I15" s="3" t="s">
        <v>0</v>
      </c>
      <c r="J15" s="2" t="str">
        <f>TEXT(Sheet1!E12,"HH:MM")&amp;" "</f>
        <v xml:space="preserve">03:47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The Energy    </v>
      </c>
      <c r="E16" s="3" t="s">
        <v>0</v>
      </c>
      <c r="F16" t="str">
        <f>" "&amp;LEFTB(Sheet1!C13&amp;REPT(" ",$F$2),$F$2)</f>
        <v xml:space="preserve"> Juan Andres Carreno Ariza / Nicole Cohen / Lalah Hathaway                                                     </v>
      </c>
      <c r="G16" s="3" t="s">
        <v>0</v>
      </c>
      <c r="H16" t="str">
        <f>LEFTB(Sheet1!D13&amp;REPT(" ",$H$2),$H$2)</f>
        <v xml:space="preserve">Lalah Hathaway                       </v>
      </c>
      <c r="I16" s="3" t="s">
        <v>0</v>
      </c>
      <c r="J16" s="2" t="str">
        <f>TEXT(Sheet1!E13,"HH:MM")&amp;" "</f>
        <v xml:space="preserve">03:40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#BITMFW       </v>
      </c>
      <c r="E17" s="3" t="s">
        <v>0</v>
      </c>
      <c r="F17" t="str">
        <f>" "&amp;LEFTB(Sheet1!C14&amp;REPT(" ",$F$2),$F$2)</f>
        <v xml:space="preserve"> Phil Beaudreau / Lalah Hathaway                                                                               </v>
      </c>
      <c r="G17" s="3" t="s">
        <v>0</v>
      </c>
      <c r="H17" t="str">
        <f>LEFTB(Sheet1!D14&amp;REPT(" ",$H$2),$H$2)</f>
        <v xml:space="preserve">Lalah Hathaway                       </v>
      </c>
      <c r="I17" s="3" t="s">
        <v>0</v>
      </c>
      <c r="J17" s="2" t="str">
        <f>TEXT(Sheet1!E14,"HH:MM")&amp;" "</f>
        <v xml:space="preserve">02:55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Clearly       </v>
      </c>
      <c r="E18" s="3" t="s">
        <v>0</v>
      </c>
      <c r="F18" t="str">
        <f>" "&amp;LEFTB(Sheet1!C15&amp;REPT(" ",$F$2),$F$2)</f>
        <v xml:space="preserve"> Phil Beaudreau / Lalah Hathaway                                                                               </v>
      </c>
      <c r="G18" s="3" t="s">
        <v>0</v>
      </c>
      <c r="H18" t="str">
        <f>LEFTB(Sheet1!D15&amp;REPT(" ",$H$2),$H$2)</f>
        <v xml:space="preserve">Lalah Hathaway                       </v>
      </c>
      <c r="I18" s="3" t="s">
        <v>0</v>
      </c>
      <c r="J18" s="2" t="str">
        <f>TEXT(Sheet1!E15,"HH:MM")&amp;" "</f>
        <v xml:space="preserve">04:18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Lower         </v>
      </c>
      <c r="E19" s="3" t="s">
        <v>0</v>
      </c>
      <c r="F19" t="str">
        <f>" "&amp;LEFTB(Sheet1!C16&amp;REPT(" ",$F$2),$F$2)</f>
        <v xml:space="preserve"> Gerald Albright / Phil Beaudreau / Lalah Hathaway                                                             </v>
      </c>
      <c r="G19" s="3" t="s">
        <v>0</v>
      </c>
      <c r="H19" t="str">
        <f>LEFTB(Sheet1!D16&amp;REPT(" ",$H$2),$H$2)</f>
        <v xml:space="preserve">Lalah Hathaway feat. Gerald Albright </v>
      </c>
      <c r="I19" s="3" t="s">
        <v>0</v>
      </c>
      <c r="J19" s="2" t="str">
        <f>TEXT(Sheet1!E16,"HH:MM")&amp;" "</f>
        <v xml:space="preserve">01:55 </v>
      </c>
      <c r="K19" s="3" t="s">
        <v>0</v>
      </c>
    </row>
    <row r="20" spans="1:11">
      <c r="A20" t="s">
        <v>0</v>
      </c>
      <c r="B20">
        <f>Sheet1!A17</f>
        <v>16</v>
      </c>
      <c r="C20" s="3" t="s">
        <v>0</v>
      </c>
      <c r="D20" t="str">
        <f>LEFTB(Sheet1!B17&amp;REPT(" ",$D$2),$D$2)</f>
        <v xml:space="preserve">Tunnels       </v>
      </c>
      <c r="E20" s="3" t="s">
        <v>0</v>
      </c>
      <c r="F20" t="str">
        <f>" "&amp;LEFTB(Sheet1!C17&amp;REPT(" ",$F$2),$F$2)</f>
        <v xml:space="preserve"> Phil Beaudreau / Lalah Hathaway / Willow Smith                                                                </v>
      </c>
      <c r="G20" s="3" t="s">
        <v>0</v>
      </c>
      <c r="H20" t="str">
        <f>LEFTB(Sheet1!D17&amp;REPT(" ",$H$2),$H$2)</f>
        <v xml:space="preserve">Lalah Hathaway feat. Willow          </v>
      </c>
      <c r="I20" s="3" t="s">
        <v>0</v>
      </c>
      <c r="J20" s="2" t="str">
        <f>TEXT(Sheet1!E17,"HH:MM")&amp;" "</f>
        <v xml:space="preserve">04:12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7775-41CC-46B9-8C6A-0D175871FE5A}">
  <dimension ref="A1:E17"/>
  <sheetViews>
    <sheetView workbookViewId="0">
      <selection sqref="A1:XFD1048576"/>
    </sheetView>
  </sheetViews>
  <sheetFormatPr defaultRowHeight="19.5"/>
  <cols>
    <col min="1" max="1" width="6.21875" bestFit="1" customWidth="1"/>
    <col min="2" max="2" width="15.21875" bestFit="1" customWidth="1"/>
    <col min="3" max="3" width="80.88671875" bestFit="1" customWidth="1"/>
    <col min="4" max="4" width="37.554687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0.10902777777777778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0.18680555555555556</v>
      </c>
    </row>
    <row r="4" spans="1:5">
      <c r="A4">
        <v>3</v>
      </c>
      <c r="B4" s="6" t="s">
        <v>14</v>
      </c>
      <c r="C4" s="6" t="s">
        <v>39</v>
      </c>
      <c r="D4" s="6" t="s">
        <v>15</v>
      </c>
      <c r="E4" s="5">
        <v>0.16319444444444445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9.6527777777777782E-2</v>
      </c>
    </row>
    <row r="6" spans="1:5">
      <c r="A6">
        <v>5</v>
      </c>
      <c r="B6" s="6" t="s">
        <v>19</v>
      </c>
      <c r="C6" s="6" t="s">
        <v>20</v>
      </c>
      <c r="D6" s="6" t="s">
        <v>21</v>
      </c>
      <c r="E6" s="5">
        <v>0.10902777777777778</v>
      </c>
    </row>
    <row r="7" spans="1:5">
      <c r="A7">
        <v>6</v>
      </c>
      <c r="B7" s="6" t="s">
        <v>22</v>
      </c>
      <c r="C7" s="6" t="s">
        <v>20</v>
      </c>
      <c r="D7" s="6" t="s">
        <v>21</v>
      </c>
      <c r="E7" s="5">
        <v>0.20416666666666666</v>
      </c>
    </row>
    <row r="8" spans="1:5">
      <c r="A8">
        <v>7</v>
      </c>
      <c r="B8" s="6" t="s">
        <v>23</v>
      </c>
      <c r="C8" s="6" t="s">
        <v>12</v>
      </c>
      <c r="D8" s="6" t="s">
        <v>21</v>
      </c>
      <c r="E8" s="5">
        <v>0.17083333333333334</v>
      </c>
    </row>
    <row r="9" spans="1:5">
      <c r="A9">
        <v>8</v>
      </c>
      <c r="B9" s="6" t="s">
        <v>24</v>
      </c>
      <c r="C9" s="6" t="s">
        <v>25</v>
      </c>
      <c r="D9" s="6" t="s">
        <v>21</v>
      </c>
      <c r="E9" s="5">
        <v>0.12222222222222222</v>
      </c>
    </row>
    <row r="10" spans="1:5">
      <c r="A10">
        <v>9</v>
      </c>
      <c r="B10" s="6" t="s">
        <v>26</v>
      </c>
      <c r="C10" s="6" t="s">
        <v>20</v>
      </c>
      <c r="D10" s="6" t="s">
        <v>21</v>
      </c>
      <c r="E10" s="5">
        <v>0.11319444444444444</v>
      </c>
    </row>
    <row r="11" spans="1:5">
      <c r="A11">
        <v>10</v>
      </c>
      <c r="B11" s="6" t="s">
        <v>27</v>
      </c>
      <c r="C11" s="6" t="s">
        <v>25</v>
      </c>
      <c r="D11" s="6" t="s">
        <v>21</v>
      </c>
      <c r="E11" s="5">
        <v>0.1388888888888889</v>
      </c>
    </row>
    <row r="12" spans="1:5">
      <c r="A12">
        <v>11</v>
      </c>
      <c r="B12" s="6" t="s">
        <v>28</v>
      </c>
      <c r="C12" s="6" t="s">
        <v>29</v>
      </c>
      <c r="D12" s="6" t="s">
        <v>21</v>
      </c>
      <c r="E12" s="5">
        <v>0.15763888888888888</v>
      </c>
    </row>
    <row r="13" spans="1:5">
      <c r="A13">
        <v>12</v>
      </c>
      <c r="B13" s="6" t="s">
        <v>30</v>
      </c>
      <c r="C13" s="6" t="s">
        <v>25</v>
      </c>
      <c r="D13" s="6" t="s">
        <v>21</v>
      </c>
      <c r="E13" s="5">
        <v>0.15277777777777779</v>
      </c>
    </row>
    <row r="14" spans="1:5">
      <c r="A14">
        <v>13</v>
      </c>
      <c r="B14" s="6" t="s">
        <v>31</v>
      </c>
      <c r="C14" s="6" t="s">
        <v>12</v>
      </c>
      <c r="D14" s="6" t="s">
        <v>21</v>
      </c>
      <c r="E14" s="5">
        <v>0.12152777777777778</v>
      </c>
    </row>
    <row r="15" spans="1:5">
      <c r="A15">
        <v>14</v>
      </c>
      <c r="B15" s="6" t="s">
        <v>32</v>
      </c>
      <c r="C15" s="6" t="s">
        <v>12</v>
      </c>
      <c r="D15" s="6" t="s">
        <v>21</v>
      </c>
      <c r="E15" s="5">
        <v>0.17916666666666667</v>
      </c>
    </row>
    <row r="16" spans="1:5">
      <c r="A16">
        <v>15</v>
      </c>
      <c r="B16" s="6" t="s">
        <v>33</v>
      </c>
      <c r="C16" s="6" t="s">
        <v>34</v>
      </c>
      <c r="D16" s="6" t="s">
        <v>35</v>
      </c>
      <c r="E16" s="5">
        <v>7.9861111111111105E-2</v>
      </c>
    </row>
    <row r="17" spans="1:5">
      <c r="A17">
        <v>16</v>
      </c>
      <c r="B17" s="6" t="s">
        <v>36</v>
      </c>
      <c r="C17" s="6" t="s">
        <v>37</v>
      </c>
      <c r="D17" s="6" t="s">
        <v>38</v>
      </c>
      <c r="E17" s="5">
        <v>0.17499999999999999</v>
      </c>
    </row>
  </sheetData>
  <phoneticPr fontId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AF7BB-8118-4B05-86C6-5011E8B575A6}">
  <dimension ref="E2:E13"/>
  <sheetViews>
    <sheetView workbookViewId="0"/>
  </sheetViews>
  <sheetFormatPr defaultRowHeight="19.5"/>
  <cols>
    <col min="1" max="1" width="6.21875" bestFit="1" customWidth="1"/>
    <col min="2" max="2" width="17.6640625" bestFit="1" customWidth="1"/>
    <col min="3" max="3" width="52.5546875" bestFit="1" customWidth="1"/>
    <col min="4" max="4" width="58.1093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テーブル 5 (43)</vt:lpstr>
      <vt:lpstr>テーブル 5 (33)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2025-03-23T10:14:00Z</dcterms:modified>
</cp:coreProperties>
</file>