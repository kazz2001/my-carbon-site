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defaultThemeVersion="166925"/>
  <mc:AlternateContent xmlns:mc="http://schemas.openxmlformats.org/markup-compatibility/2006">
    <mc:Choice Requires="x15">
      <x15ac:absPath xmlns:x15ac="http://schemas.microsoft.com/office/spreadsheetml/2010/11/ac" url="C:\Users\user\Documents\gatsby_v5\"/>
    </mc:Choice>
  </mc:AlternateContent>
  <xr:revisionPtr revIDLastSave="0" documentId="13_ncr:1_{E251C2AC-FAB8-48DA-BC51-CEACF786109A}" xr6:coauthVersionLast="47" xr6:coauthVersionMax="47" xr10:uidLastSave="{00000000-0000-0000-0000-000000000000}"/>
  <bookViews>
    <workbookView xWindow="1170" yWindow="1170" windowWidth="24840" windowHeight="12900" activeTab="1" xr2:uid="{00000000-000D-0000-FFFF-FFFF00000000}"/>
  </bookViews>
  <sheets>
    <sheet name="Sheet1" sheetId="1" r:id="rId1"/>
    <sheet name="Sheet2" sheetId="2" r:id="rId2"/>
    <sheet name="テーブル 5 (41)" sheetId="60" r:id="rId3"/>
    <sheet name="テーブル 5 (39)" sheetId="59" r:id="rId4"/>
    <sheet name="テーブル 5 (37)" sheetId="58" r:id="rId5"/>
    <sheet name="テーブル 5 (33)" sheetId="56" r:id="rId6"/>
  </sheets>
  <definedNames>
    <definedName name="ExternalData_1" localSheetId="2" hidden="1">'テーブル 5 (41)'!$A$1:$E$12</definedName>
    <definedName name="ExternalData_2" localSheetId="0" hidden="1">Sheet1!$A$1:$E$12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30" i="2" l="1"/>
  <c r="B30" i="2"/>
  <c r="J29" i="2"/>
  <c r="B29" i="2"/>
  <c r="J28" i="2"/>
  <c r="B28" i="2"/>
  <c r="J27" i="2" l="1"/>
  <c r="B27" i="2"/>
  <c r="J26" i="2"/>
  <c r="B26" i="2"/>
  <c r="J25" i="2"/>
  <c r="B25" i="2"/>
  <c r="J24" i="2"/>
  <c r="B24" i="2"/>
  <c r="J23" i="2"/>
  <c r="B23" i="2"/>
  <c r="J22" i="2"/>
  <c r="B22" i="2"/>
  <c r="J21" i="2"/>
  <c r="B21" i="2"/>
  <c r="J20" i="2"/>
  <c r="B20" i="2"/>
  <c r="J19" i="2"/>
  <c r="B19" i="2"/>
  <c r="J18" i="2"/>
  <c r="B18" i="2"/>
  <c r="J17" i="2"/>
  <c r="B17" i="2"/>
  <c r="J16" i="2"/>
  <c r="B16" i="2"/>
  <c r="J15" i="2"/>
  <c r="B15" i="2"/>
  <c r="J14" i="2"/>
  <c r="B14" i="2"/>
  <c r="J13" i="2"/>
  <c r="B13" i="2"/>
  <c r="J12" i="2"/>
  <c r="B12" i="2"/>
  <c r="J11" i="2"/>
  <c r="B11" i="2"/>
  <c r="J10" i="2"/>
  <c r="B10" i="2"/>
  <c r="J9" i="2"/>
  <c r="B9" i="2"/>
  <c r="J8" i="2"/>
  <c r="B8" i="2"/>
  <c r="J7" i="2"/>
  <c r="B7" i="2"/>
  <c r="J6" i="2"/>
  <c r="B6" i="2"/>
  <c r="J5" i="2"/>
  <c r="B5" i="2"/>
  <c r="J3" i="2"/>
  <c r="B3" i="2"/>
  <c r="J2" i="2"/>
  <c r="H2" i="2" a="1"/>
  <c r="H2" i="2" s="1"/>
  <c r="F2" i="2" a="1"/>
  <c r="F2" i="2" s="1"/>
  <c r="D2" i="2" a="1"/>
  <c r="D2" i="2" s="1"/>
  <c r="H24" i="2" l="1"/>
  <c r="H30" i="2"/>
  <c r="H28" i="2"/>
  <c r="H29" i="2"/>
  <c r="F30" i="2"/>
  <c r="F28" i="2"/>
  <c r="F29" i="2"/>
  <c r="D26" i="2"/>
  <c r="D29" i="2"/>
  <c r="D30" i="2"/>
  <c r="D28" i="2"/>
  <c r="F21" i="2"/>
  <c r="F23" i="2"/>
  <c r="D12" i="2"/>
  <c r="D20" i="2"/>
  <c r="H7" i="2"/>
  <c r="H15" i="2"/>
  <c r="H3" i="2"/>
  <c r="H5" i="2"/>
  <c r="D7" i="2"/>
  <c r="F10" i="2"/>
  <c r="H13" i="2"/>
  <c r="D15" i="2"/>
  <c r="F18" i="2"/>
  <c r="H21" i="2"/>
  <c r="D23" i="2"/>
  <c r="F26" i="2"/>
  <c r="F4" i="2"/>
  <c r="D6" i="2"/>
  <c r="F9" i="2"/>
  <c r="H12" i="2"/>
  <c r="D14" i="2"/>
  <c r="F17" i="2"/>
  <c r="H20" i="2"/>
  <c r="D22" i="2"/>
  <c r="F25" i="2"/>
  <c r="F15" i="2"/>
  <c r="D9" i="2"/>
  <c r="D25" i="2"/>
  <c r="H4" i="2"/>
  <c r="F6" i="2"/>
  <c r="H9" i="2"/>
  <c r="D11" i="2"/>
  <c r="F14" i="2"/>
  <c r="H17" i="2"/>
  <c r="D19" i="2"/>
  <c r="F22" i="2"/>
  <c r="H25" i="2"/>
  <c r="D27" i="2"/>
  <c r="H10" i="2"/>
  <c r="D4" i="2"/>
  <c r="F12" i="2"/>
  <c r="F20" i="2"/>
  <c r="H6" i="2"/>
  <c r="D8" i="2"/>
  <c r="F11" i="2"/>
  <c r="H14" i="2"/>
  <c r="D16" i="2"/>
  <c r="F19" i="2"/>
  <c r="H22" i="2"/>
  <c r="D24" i="2"/>
  <c r="F27" i="2"/>
  <c r="F7" i="2"/>
  <c r="H18" i="2"/>
  <c r="H26" i="2"/>
  <c r="D17" i="2"/>
  <c r="H23" i="2"/>
  <c r="D3" i="2"/>
  <c r="D5" i="2"/>
  <c r="F8" i="2"/>
  <c r="H11" i="2"/>
  <c r="D13" i="2"/>
  <c r="F16" i="2"/>
  <c r="H19" i="2"/>
  <c r="D21" i="2"/>
  <c r="F24" i="2"/>
  <c r="H27" i="2"/>
  <c r="F3" i="2"/>
  <c r="F5" i="2"/>
  <c r="H8" i="2"/>
  <c r="D10" i="2"/>
  <c r="F13" i="2"/>
  <c r="H16" i="2"/>
  <c r="D18"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クエリ - Table 3" description="ブック内の 'Table 3' クエリへの接続です。" type="5" refreshedVersion="0" background="1">
    <dbPr connection="Provider=Microsoft.Mashup.OleDb.1;Data Source=$Workbook$;Location=&quot;Table 3&quot;;Extended Properties=&quot;&quot;" command="SELECT * FROM [Table 3]"/>
  </connection>
  <connection id="2" xr16:uid="{00000000-0015-0000-FFFF-FFFF01000000}" keepAlive="1" name="クエリ - Table 3 (10)" description="ブック内の 'Table 3 (10)' クエリへの接続です。" type="5" refreshedVersion="8" background="1" saveData="1">
    <dbPr connection="Provider=Microsoft.Mashup.OleDb.1;Data Source=$Workbook$;Location=&quot;Table 3 (10)&quot;;Extended Properties=&quot;&quot;" command="SELECT * FROM [Table 3 (10)]"/>
  </connection>
  <connection id="3" xr16:uid="{00000000-0015-0000-FFFF-FFFF02000000}" keepAlive="1" name="クエリ - Table 3 (11)" description="ブック内の 'Table 3 (11)' クエリへの接続です。" type="5" refreshedVersion="8" background="1" saveData="1">
    <dbPr connection="Provider=Microsoft.Mashup.OleDb.1;Data Source=$Workbook$;Location=&quot;Table 3 (11)&quot;;Extended Properties=&quot;&quot;" command="SELECT * FROM [Table 3 (11)]"/>
  </connection>
  <connection id="4" xr16:uid="{00000000-0015-0000-FFFF-FFFF03000000}" keepAlive="1" name="クエリ - Table 3 (12)" description="ブック内の 'Table 3 (12)' クエリへの接続です。" type="5" refreshedVersion="8" background="1" saveData="1">
    <dbPr connection="Provider=Microsoft.Mashup.OleDb.1;Data Source=$Workbook$;Location=&quot;Table 3 (12)&quot;;Extended Properties=&quot;&quot;" command="SELECT * FROM [Table 3 (12)]"/>
  </connection>
  <connection id="5" xr16:uid="{00000000-0015-0000-FFFF-FFFF04000000}" keepAlive="1" name="クエリ - Table 3 (13)" description="ブック内の 'Table 3 (13)' クエリへの接続です。" type="5" refreshedVersion="0" background="1">
    <dbPr connection="Provider=Microsoft.Mashup.OleDb.1;Data Source=$Workbook$;Location=&quot;Table 3 (13)&quot;;Extended Properties=&quot;&quot;" command="SELECT * FROM [Table 3 (13)]"/>
  </connection>
  <connection id="6" xr16:uid="{00000000-0015-0000-FFFF-FFFF05000000}" keepAlive="1" name="クエリ - Table 3 (14)" description="ブック内の 'Table 3 (14)' クエリへの接続です。" type="5" refreshedVersion="8" background="1" saveData="1">
    <dbPr connection="Provider=Microsoft.Mashup.OleDb.1;Data Source=$Workbook$;Location=&quot;Table 3 (14)&quot;;Extended Properties=&quot;&quot;" command="SELECT * FROM [Table 3 (14)]"/>
  </connection>
  <connection id="7" xr16:uid="{BBDDB330-635A-4FD3-9B97-EA23FECC0AE6}" keepAlive="1" name="クエリ - Table 3 (17)" description="ブック内の 'Table 3 (17)' クエリへの接続です。" type="5" refreshedVersion="0" background="1">
    <dbPr connection="Provider=Microsoft.Mashup.OleDb.1;Data Source=$Workbook$;Location=&quot;Table 3 (17)&quot;;Extended Properties=&quot;&quot;" command="SELECT * FROM [Table 3 (17)]"/>
  </connection>
  <connection id="8" xr16:uid="{59629BA3-7031-4BD0-A30D-0546CC37554E}" keepAlive="1" name="クエリ - Table 3 (18)" description="ブック内の 'Table 3 (18)' クエリへの接続です。" type="5" refreshedVersion="8" background="1" saveData="1">
    <dbPr connection="Provider=Microsoft.Mashup.OleDb.1;Data Source=$Workbook$;Location=&quot;Table 3 (18)&quot;;Extended Properties=&quot;&quot;" command="SELECT * FROM [Table 3 (18)]"/>
  </connection>
  <connection id="9" xr16:uid="{08FA7F66-84D1-41B1-AD8A-A60A8C34F498}" keepAlive="1" name="クエリ - Table 3 (19)" description="ブック内の 'Table 3 (19)' クエリへの接続です。" type="5" refreshedVersion="8" background="1" saveData="1">
    <dbPr connection="Provider=Microsoft.Mashup.OleDb.1;Data Source=$Workbook$;Location=&quot;Table 3 (19)&quot;;Extended Properties=&quot;&quot;" command="SELECT * FROM [Table 3 (19)]"/>
  </connection>
  <connection id="10" xr16:uid="{00000000-0015-0000-FFFF-FFFF06000000}" keepAlive="1" name="クエリ - Table 3 (2)" description="ブック内の 'Table 3 (2)' クエリへの接続です。" type="5" refreshedVersion="0" background="1">
    <dbPr connection="Provider=Microsoft.Mashup.OleDb.1;Data Source=$Workbook$;Location=&quot;Table 3 (2)&quot;;Extended Properties=&quot;&quot;" command="SELECT * FROM [Table 3 (2)]"/>
  </connection>
  <connection id="11" xr16:uid="{1BB2406A-A215-49AD-BDCF-AB1CC1940533}" keepAlive="1" name="クエリ - Table 3 (20)" description="ブック内の 'Table 3 (20)' クエリへの接続です。" type="5" refreshedVersion="8" background="1" saveData="1">
    <dbPr connection="Provider=Microsoft.Mashup.OleDb.1;Data Source=$Workbook$;Location=&quot;Table 3 (20)&quot;;Extended Properties=&quot;&quot;" command="SELECT * FROM [Table 3 (20)]"/>
  </connection>
  <connection id="12" xr16:uid="{A923C67F-66FA-47A7-8769-2C8E672AADC2}" keepAlive="1" name="クエリ - Table 3 (21)" description="ブック内の 'Table 3 (21)' クエリへの接続です。" type="5" refreshedVersion="0" background="1">
    <dbPr connection="Provider=Microsoft.Mashup.OleDb.1;Data Source=$Workbook$;Location=&quot;Table 3 (21)&quot;;Extended Properties=&quot;&quot;" command="SELECT * FROM [Table 3 (21)]"/>
  </connection>
  <connection id="13" xr16:uid="{5C4F1F22-6BC5-4EEF-A525-55F0A2EAA8AB}" keepAlive="1" name="クエリ - Table 3 (22)" description="ブック内の 'Table 3 (22)' クエリへの接続です。" type="5" refreshedVersion="8" background="1" saveData="1">
    <dbPr connection="Provider=Microsoft.Mashup.OleDb.1;Data Source=$Workbook$;Location=&quot;Table 3 (22)&quot;;Extended Properties=&quot;&quot;" command="SELECT * FROM [Table 3 (22)]"/>
  </connection>
  <connection id="14" xr16:uid="{E157A86B-7235-439A-ACCA-6870352BCCE2}" keepAlive="1" name="クエリ - Table 3 (23)" description="ブック内の 'Table 3 (23)' クエリへの接続です。" type="5" refreshedVersion="8" background="1" saveData="1">
    <dbPr connection="Provider=Microsoft.Mashup.OleDb.1;Data Source=$Workbook$;Location=&quot;Table 3 (23)&quot;;Extended Properties=&quot;&quot;" command="SELECT * FROM [Table 3 (23)]"/>
  </connection>
  <connection id="15" xr16:uid="{BCB139AD-686B-4CA1-BED5-5EF4474290DB}" keepAlive="1" name="クエリ - Table 3 (24)" description="ブック内の 'Table 3 (24)' クエリへの接続です。" type="5" refreshedVersion="8" background="1" saveData="1">
    <dbPr connection="Provider=Microsoft.Mashup.OleDb.1;Data Source=$Workbook$;Location=&quot;Table 3 (24)&quot;;Extended Properties=&quot;&quot;" command="SELECT * FROM [Table 3 (24)]"/>
  </connection>
  <connection id="16" xr16:uid="{B390C490-7684-4991-B334-3962976A3C16}" keepAlive="1" name="クエリ - Table 3 (25)" description="ブック内の 'Table 3 (25)' クエリへの接続です。" type="5" refreshedVersion="0" background="1">
    <dbPr connection="Provider=Microsoft.Mashup.OleDb.1;Data Source=$Workbook$;Location=&quot;Table 3 (25)&quot;;Extended Properties=&quot;&quot;" command="SELECT * FROM [Table 3 (25)]"/>
  </connection>
  <connection id="17" xr16:uid="{96404DEB-DCAD-4EF3-9CB5-CDF10EE8EA43}" keepAlive="1" name="クエリ - Table 3 (26)" description="ブック内の 'Table 3 (26)' クエリへの接続です。" type="5" refreshedVersion="8" background="1" saveData="1">
    <dbPr connection="Provider=Microsoft.Mashup.OleDb.1;Data Source=$Workbook$;Location=&quot;Table 3 (26)&quot;;Extended Properties=&quot;&quot;" command="SELECT * FROM [Table 3 (26)]"/>
  </connection>
  <connection id="18" xr16:uid="{D91FCA50-814B-4209-9685-ADAE4EE9A52E}" keepAlive="1" name="クエリ - Table 3 (27)" description="ブック内の 'Table 3 (27)' クエリへの接続です。" type="5" refreshedVersion="0" background="1">
    <dbPr connection="Provider=Microsoft.Mashup.OleDb.1;Data Source=$Workbook$;Location=&quot;Table 3 (27)&quot;;Extended Properties=&quot;&quot;" command="SELECT * FROM [Table 3 (27)]"/>
  </connection>
  <connection id="19" xr16:uid="{087A6F5E-2E87-4E34-AC3A-2C6157520DAA}" keepAlive="1" name="クエリ - Table 3 (28)" description="ブック内の 'Table 3 (28)' クエリへの接続です。" type="5" refreshedVersion="8" background="1" saveData="1">
    <dbPr connection="Provider=Microsoft.Mashup.OleDb.1;Data Source=$Workbook$;Location=&quot;Table 3 (28)&quot;;Extended Properties=&quot;&quot;" command="SELECT * FROM [Table 3 (28)]"/>
  </connection>
  <connection id="20" xr16:uid="{5ABE8F91-5CB3-468F-9F21-A64594C0D26F}" keepAlive="1" name="クエリ - Table 3 (29)" description="ブック内の 'Table 3 (29)' クエリへの接続です。" type="5" refreshedVersion="8" background="1" saveData="1">
    <dbPr connection="Provider=Microsoft.Mashup.OleDb.1;Data Source=$Workbook$;Location=&quot;Table 3 (29)&quot;;Extended Properties=&quot;&quot;" command="SELECT * FROM [Table 3 (29)]"/>
  </connection>
  <connection id="21" xr16:uid="{00000000-0015-0000-FFFF-FFFF07000000}" keepAlive="1" name="クエリ - Table 3 (3)" description="ブック内の 'Table 3 (3)' クエリへの接続です。" type="5" refreshedVersion="8" background="1" saveData="1">
    <dbPr connection="Provider=Microsoft.Mashup.OleDb.1;Data Source=$Workbook$;Location=&quot;Table 3 (3)&quot;;Extended Properties=&quot;&quot;" command="SELECT * FROM [Table 3 (3)]"/>
  </connection>
  <connection id="22" xr16:uid="{30219059-5A6A-48D3-B83D-9E080CDF23F5}" keepAlive="1" name="クエリ - Table 3 (30)" description="ブック内の 'Table 3 (30)' クエリへの接続です。" type="5" refreshedVersion="8" background="1" saveData="1">
    <dbPr connection="Provider=Microsoft.Mashup.OleDb.1;Data Source=$Workbook$;Location=&quot;Table 3 (30)&quot;;Extended Properties=&quot;&quot;" command="SELECT * FROM [Table 3 (30)]"/>
  </connection>
  <connection id="23" xr16:uid="{BEEC4493-24B8-45BD-BA72-A99614481F9D}" keepAlive="1" name="クエリ - Table 3 (31)" description="ブック内の 'Table 3 (31)' クエリへの接続です。" type="5" refreshedVersion="0" background="1">
    <dbPr connection="Provider=Microsoft.Mashup.OleDb.1;Data Source=$Workbook$;Location=&quot;Table 3 (31)&quot;;Extended Properties=&quot;&quot;" command="SELECT * FROM [Table 3 (31)]"/>
  </connection>
  <connection id="24" xr16:uid="{F96985D1-BCC0-4393-809C-6ACB6E0D2913}" keepAlive="1" name="クエリ - Table 3 (32)" description="ブック内の 'Table 3 (32)' クエリへの接続です。" type="5" refreshedVersion="8" background="1" saveData="1">
    <dbPr connection="Provider=Microsoft.Mashup.OleDb.1;Data Source=$Workbook$;Location=&quot;Table 3 (32)&quot;;Extended Properties=&quot;&quot;" command="SELECT * FROM [Table 3 (32)]"/>
  </connection>
  <connection id="25" xr16:uid="{5F823967-9E8D-4A03-9DA1-1A207095B3ED}" keepAlive="1" name="クエリ - Table 3 (33)" description="ブック内の 'Table 3 (33)' クエリへの接続です。" type="5" refreshedVersion="8" background="1" saveData="1">
    <dbPr connection="Provider=Microsoft.Mashup.OleDb.1;Data Source=$Workbook$;Location=&quot;Table 3 (33)&quot;;Extended Properties=&quot;&quot;" command="SELECT * FROM [Table 3 (33)]"/>
  </connection>
  <connection id="26" xr16:uid="{5993CCC8-FDFD-4119-B7F4-609C7EF0845B}" keepAlive="1" name="クエリ - Table 3 (34)" description="ブック内の 'Table 3 (34)' クエリへの接続です。" type="5" refreshedVersion="8" background="1" saveData="1">
    <dbPr connection="Provider=Microsoft.Mashup.OleDb.1;Data Source=$Workbook$;Location=&quot;Table 3 (34)&quot;;Extended Properties=&quot;&quot;" command="SELECT * FROM [Table 3 (34)]"/>
  </connection>
  <connection id="27" xr16:uid="{0D4A6A05-6E5B-4965-8A95-0C2485E0B07A}" keepAlive="1" name="クエリ - Table 3 (35)" description="ブック内の 'Table 3 (35)' クエリへの接続です。" type="5" refreshedVersion="8" background="1" saveData="1">
    <dbPr connection="Provider=Microsoft.Mashup.OleDb.1;Data Source=$Workbook$;Location=&quot;Table 3 (35)&quot;;Extended Properties=&quot;&quot;" command="SELECT * FROM [Table 3 (35)]"/>
  </connection>
  <connection id="28" xr16:uid="{A7B07713-00C4-4892-A796-A8938D2A4F65}" keepAlive="1" name="クエリ - Table 3 (36)" description="ブック内の 'Table 3 (36)' クエリへの接続です。" type="5" refreshedVersion="8" background="1" saveData="1">
    <dbPr connection="Provider=Microsoft.Mashup.OleDb.1;Data Source=$Workbook$;Location=&quot;Table 3 (36)&quot;;Extended Properties=&quot;&quot;" command="SELECT * FROM [Table 3 (36)]"/>
  </connection>
  <connection id="29" xr16:uid="{C3B7EA04-0FA9-4840-9156-A7C81F662A74}" keepAlive="1" name="クエリ - Table 3 (37)" description="ブック内の 'Table 3 (37)' クエリへの接続です。" type="5" refreshedVersion="8" background="1" saveData="1">
    <dbPr connection="Provider=Microsoft.Mashup.OleDb.1;Data Source=$Workbook$;Location=&quot;Table 3 (37)&quot;;Extended Properties=&quot;&quot;" command="SELECT * FROM [Table 3 (37)]"/>
  </connection>
  <connection id="30" xr16:uid="{3D7F0046-D826-4677-B8E6-2DD830DB01D7}" keepAlive="1" name="クエリ - Table 3 (38)" description="ブック内の 'Table 3 (38)' クエリへの接続です。" type="5" refreshedVersion="8" background="1" saveData="1">
    <dbPr connection="Provider=Microsoft.Mashup.OleDb.1;Data Source=$Workbook$;Location=&quot;Table 3 (38)&quot;;Extended Properties=&quot;&quot;" command="SELECT * FROM [Table 3 (38)]"/>
  </connection>
  <connection id="31" xr16:uid="{D95B5317-AB5F-4BB7-BFEC-8E4CC14D01E4}" keepAlive="1" name="クエリ - Table 3 (39)" description="ブック内の 'Table 3 (39)' クエリへの接続です。" type="5" refreshedVersion="0" background="1">
    <dbPr connection="Provider=Microsoft.Mashup.OleDb.1;Data Source=$Workbook$;Location=&quot;Table 3 (39)&quot;;Extended Properties=&quot;&quot;" command="SELECT * FROM [Table 3 (39)]"/>
  </connection>
  <connection id="32" xr16:uid="{00000000-0015-0000-FFFF-FFFF08000000}" keepAlive="1" name="クエリ - Table 3 (4)" description="ブック内の 'Table 3 (4)' クエリへの接続です。" type="5" refreshedVersion="8" background="1" saveData="1">
    <dbPr connection="Provider=Microsoft.Mashup.OleDb.1;Data Source=$Workbook$;Location=&quot;Table 3 (4)&quot;;Extended Properties=&quot;&quot;" command="SELECT * FROM [Table 3 (4)]"/>
  </connection>
  <connection id="33" xr16:uid="{3E8A2834-A264-4926-9CC7-F3D329839317}" keepAlive="1" name="クエリ - Table 3 (40)" description="ブック内の 'Table 3 (40)' クエリへの接続です。" type="5" refreshedVersion="8" background="1" saveData="1">
    <dbPr connection="Provider=Microsoft.Mashup.OleDb.1;Data Source=$Workbook$;Location=&quot;Table 3 (40)&quot;;Extended Properties=&quot;&quot;" command="SELECT * FROM [Table 3 (40)]"/>
  </connection>
  <connection id="34" xr16:uid="{0C3944EF-E0CC-4A8C-84AA-0B82D6653D85}" keepAlive="1" name="クエリ - Table 3 (41)" description="ブック内の 'Table 3 (41)' クエリへの接続です。" type="5" refreshedVersion="8" background="1" saveData="1">
    <dbPr connection="Provider=Microsoft.Mashup.OleDb.1;Data Source=$Workbook$;Location=&quot;Table 3 (41)&quot;;Extended Properties=&quot;&quot;" command="SELECT * FROM [Table 3 (41)]"/>
  </connection>
  <connection id="35" xr16:uid="{1714E083-43AA-4694-B263-134E90E36B66}" keepAlive="1" name="クエリ - Table 3 (42)" description="ブック内の 'Table 3 (42)' クエリへの接続です。" type="5" refreshedVersion="8" background="1" saveData="1">
    <dbPr connection="Provider=Microsoft.Mashup.OleDb.1;Data Source=$Workbook$;Location=&quot;Table 3 (42)&quot;;Extended Properties=&quot;&quot;" command="SELECT * FROM [Table 3 (42)]"/>
  </connection>
  <connection id="36" xr16:uid="{D71BE0F1-CAB7-4A33-907C-8F8851146D48}" keepAlive="1" name="クエリ - Table 3 (43)" description="ブック内の 'Table 3 (43)' クエリへの接続です。" type="5" refreshedVersion="0" background="1">
    <dbPr connection="Provider=Microsoft.Mashup.OleDb.1;Data Source=$Workbook$;Location=&quot;Table 3 (43)&quot;;Extended Properties=&quot;&quot;" command="SELECT * FROM [Table 3 (43)]"/>
  </connection>
  <connection id="37" xr16:uid="{044A3C8E-03A8-4B2C-86FF-586DDE5D3C13}" keepAlive="1" name="クエリ - Table 3 (44)" description="ブック内の 'Table 3 (44)' クエリへの接続です。" type="5" refreshedVersion="8" background="1" saveData="1">
    <dbPr connection="Provider=Microsoft.Mashup.OleDb.1;Data Source=$Workbook$;Location=&quot;Table 3 (44)&quot;;Extended Properties=&quot;&quot;" command="SELECT * FROM [Table 3 (44)]"/>
  </connection>
  <connection id="38" xr16:uid="{9441CB51-2FCB-4D67-B7BB-ACB4516A2F42}" keepAlive="1" name="クエリ - Table 3 (45)" description="ブック内の 'Table 3 (45)' クエリへの接続です。" type="5" refreshedVersion="8" background="1" saveData="1">
    <dbPr connection="Provider=Microsoft.Mashup.OleDb.1;Data Source=$Workbook$;Location=&quot;Table 3 (45)&quot;;Extended Properties=&quot;&quot;" command="SELECT * FROM [Table 3 (45)]"/>
  </connection>
  <connection id="39" xr16:uid="{1CDB8E65-1689-402A-B03C-C1609D040FA1}" keepAlive="1" name="クエリ - Table 3 (46)" description="ブック内の 'Table 3 (46)' クエリへの接続です。" type="5" refreshedVersion="8" background="1" saveData="1">
    <dbPr connection="Provider=Microsoft.Mashup.OleDb.1;Data Source=$Workbook$;Location=&quot;Table 3 (46)&quot;;Extended Properties=&quot;&quot;" command="SELECT * FROM [Table 3 (46)]"/>
  </connection>
  <connection id="40" xr16:uid="{EBC09895-E0C2-4FEB-837A-191072F1BFE8}" keepAlive="1" name="クエリ - Table 3 (47)" description="ブック内の 'Table 3 (47)' クエリへの接続です。" type="5" refreshedVersion="0" background="1">
    <dbPr connection="Provider=Microsoft.Mashup.OleDb.1;Data Source=$Workbook$;Location=&quot;Table 3 (47)&quot;;Extended Properties=&quot;&quot;" command="SELECT * FROM [Table 3 (47)]"/>
  </connection>
  <connection id="41" xr16:uid="{6C6798D4-B054-4576-9333-829ED85B7AE1}" keepAlive="1" name="クエリ - Table 3 (48)" description="ブック内の 'Table 3 (48)' クエリへの接続です。" type="5" refreshedVersion="8" background="1" saveData="1">
    <dbPr connection="Provider=Microsoft.Mashup.OleDb.1;Data Source=$Workbook$;Location=&quot;Table 3 (48)&quot;;Extended Properties=&quot;&quot;" command="SELECT * FROM [Table 3 (48)]"/>
  </connection>
  <connection id="42" xr16:uid="{ED3463E4-9D92-46BD-BE53-E246E580EFFB}" keepAlive="1" name="クエリ - Table 3 (49)" description="ブック内の 'Table 3 (49)' クエリへの接続です。" type="5" refreshedVersion="8" background="1" saveData="1">
    <dbPr connection="Provider=Microsoft.Mashup.OleDb.1;Data Source=$Workbook$;Location=&quot;Table 3 (49)&quot;;Extended Properties=&quot;&quot;" command="SELECT * FROM [Table 3 (49)]"/>
  </connection>
  <connection id="43" xr16:uid="{00000000-0015-0000-FFFF-FFFF09000000}" keepAlive="1" name="クエリ - Table 3 (5)" description="ブック内の 'Table 3 (5)' クエリへの接続です。" type="5" refreshedVersion="8" background="1" saveData="1">
    <dbPr connection="Provider=Microsoft.Mashup.OleDb.1;Data Source=$Workbook$;Location=&quot;Table 3 (5)&quot;;Extended Properties=&quot;&quot;" command="SELECT * FROM [Table 3 (5)]"/>
  </connection>
  <connection id="44" xr16:uid="{2DE8387B-4D55-4A60-931A-2428019F495E}" keepAlive="1" name="クエリ - Table 3 (50)" description="ブック内の 'Table 3 (50)' クエリへの接続です。" type="5" refreshedVersion="8" background="1" saveData="1">
    <dbPr connection="Provider=Microsoft.Mashup.OleDb.1;Data Source=$Workbook$;Location=&quot;Table 3 (50)&quot;;Extended Properties=&quot;&quot;" command="SELECT * FROM [Table 3 (50)]"/>
  </connection>
  <connection id="45" xr16:uid="{7F7B5444-DE18-4398-B0CA-217250B9FCF4}" keepAlive="1" name="クエリ - Table 3 (51)" description="ブック内の 'Table 3 (51)' クエリへの接続です。" type="5" refreshedVersion="0" background="1">
    <dbPr connection="Provider=Microsoft.Mashup.OleDb.1;Data Source=$Workbook$;Location=&quot;Table 3 (51)&quot;;Extended Properties=&quot;&quot;" command="SELECT * FROM [Table 3 (51)]"/>
  </connection>
  <connection id="46" xr16:uid="{F9CEF165-5BD4-4BA9-A76D-DD931EE26B40}" keepAlive="1" name="クエリ - Table 3 (52)" description="ブック内の 'Table 3 (52)' クエリへの接続です。" type="5" refreshedVersion="8" background="1" saveData="1">
    <dbPr connection="Provider=Microsoft.Mashup.OleDb.1;Data Source=$Workbook$;Location=&quot;Table 3 (52)&quot;;Extended Properties=&quot;&quot;" command="SELECT * FROM [Table 3 (52)]"/>
  </connection>
  <connection id="47" xr16:uid="{63A81AD9-0308-409F-A920-7FF919C71A6B}" keepAlive="1" name="クエリ - Table 3 (53)" description="ブック内の 'Table 3 (53)' クエリへの接続です。" type="5" refreshedVersion="8" background="1" saveData="1">
    <dbPr connection="Provider=Microsoft.Mashup.OleDb.1;Data Source=$Workbook$;Location=&quot;Table 3 (53)&quot;;Extended Properties=&quot;&quot;" command="SELECT * FROM [Table 3 (53)]"/>
  </connection>
  <connection id="48" xr16:uid="{A53EFC76-213A-4881-BDBC-9CBA0B986614}" keepAlive="1" name="クエリ - Table 3 (54)" description="ブック内の 'Table 3 (54)' クエリへの接続です。" type="5" refreshedVersion="8" background="1" saveData="1">
    <dbPr connection="Provider=Microsoft.Mashup.OleDb.1;Data Source=$Workbook$;Location=&quot;Table 3 (54)&quot;;Extended Properties=&quot;&quot;" command="SELECT * FROM [Table 3 (54)]"/>
  </connection>
  <connection id="49" xr16:uid="{D3CF9B5C-9D7D-4794-BEC1-6743F9CB0611}" keepAlive="1" name="クエリ - Table 3 (55)" description="ブック内の 'Table 3 (55)' クエリへの接続です。" type="5" refreshedVersion="0" background="1">
    <dbPr connection="Provider=Microsoft.Mashup.OleDb.1;Data Source=$Workbook$;Location=&quot;Table 3 (55)&quot;;Extended Properties=&quot;&quot;" command="SELECT * FROM [Table 3 (55)]"/>
  </connection>
  <connection id="50" xr16:uid="{A1540960-9E11-4465-BB2F-7A13C34D06C9}" keepAlive="1" name="クエリ - Table 3 (56)" description="ブック内の 'Table 3 (56)' クエリへの接続です。" type="5" refreshedVersion="8" background="1" saveData="1">
    <dbPr connection="Provider=Microsoft.Mashup.OleDb.1;Data Source=$Workbook$;Location=&quot;Table 3 (56)&quot;;Extended Properties=&quot;&quot;" command="SELECT * FROM [Table 3 (56)]"/>
  </connection>
  <connection id="51" xr16:uid="{CEF73C73-578B-4672-B688-03089AFFF831}" keepAlive="1" name="クエリ - Table 3 (57)" description="ブック内の 'Table 3 (57)' クエリへの接続です。" type="5" refreshedVersion="8" background="1" saveData="1">
    <dbPr connection="Provider=Microsoft.Mashup.OleDb.1;Data Source=$Workbook$;Location=&quot;Table 3 (57)&quot;;Extended Properties=&quot;&quot;" command="SELECT * FROM [Table 3 (57)]"/>
  </connection>
  <connection id="52" xr16:uid="{F8353580-F12A-49C9-A1B0-E2DC70758AA5}" keepAlive="1" name="クエリ - Table 3 (58)" description="ブック内の 'Table 3 (58)' クエリへの接続です。" type="5" refreshedVersion="8" background="1" saveData="1">
    <dbPr connection="Provider=Microsoft.Mashup.OleDb.1;Data Source=$Workbook$;Location=&quot;Table 3 (58)&quot;;Extended Properties=&quot;&quot;" command="SELECT * FROM [Table 3 (58)]"/>
  </connection>
  <connection id="53" xr16:uid="{6F2A582B-139A-408D-8A3F-AF9218616E11}" keepAlive="1" name="クエリ - Table 3 (59)" description="ブック内の 'Table 3 (59)' クエリへの接続です。" type="5" refreshedVersion="0" background="1">
    <dbPr connection="Provider=Microsoft.Mashup.OleDb.1;Data Source=$Workbook$;Location=&quot;Table 3 (59)&quot;;Extended Properties=&quot;&quot;" command="SELECT * FROM [Table 3 (59)]"/>
  </connection>
  <connection id="54" xr16:uid="{00000000-0015-0000-FFFF-FFFF0A000000}" keepAlive="1" name="クエリ - Table 3 (6)" description="ブック内の 'Table 3 (6)' クエリへの接続です。" type="5" refreshedVersion="8" background="1" saveData="1">
    <dbPr connection="Provider=Microsoft.Mashup.OleDb.1;Data Source=$Workbook$;Location=&quot;Table 3 (6)&quot;;Extended Properties=&quot;&quot;" command="SELECT * FROM [Table 3 (6)]"/>
  </connection>
  <connection id="55" xr16:uid="{6D322BA9-22CA-4EDE-9A6E-5578919B3227}" keepAlive="1" name="クエリ - Table 3 (60)" description="ブック内の 'Table 3 (60)' クエリへの接続です。" type="5" refreshedVersion="8" background="1" saveData="1">
    <dbPr connection="Provider=Microsoft.Mashup.OleDb.1;Data Source=$Workbook$;Location=&quot;Table 3 (60)&quot;;Extended Properties=&quot;&quot;" command="SELECT * FROM [Table 3 (60)]"/>
  </connection>
  <connection id="56" xr16:uid="{92A15584-4775-4A0F-805C-71FAC8A438A8}" keepAlive="1" name="クエリ - Table 3 (61)" description="ブック内の 'Table 3 (61)' クエリへの接続です。" type="5" refreshedVersion="8" background="1" saveData="1">
    <dbPr connection="Provider=Microsoft.Mashup.OleDb.1;Data Source=$Workbook$;Location=&quot;Table 3 (61)&quot;;Extended Properties=&quot;&quot;" command="SELECT * FROM [Table 3 (61)]"/>
  </connection>
  <connection id="57" xr16:uid="{094B29CD-E7A5-4E46-B477-8DCBF892703D}" keepAlive="1" name="クエリ - Table 3 (62)" description="ブック内の 'Table 3 (62)' クエリへの接続です。" type="5" refreshedVersion="8" background="1" saveData="1">
    <dbPr connection="Provider=Microsoft.Mashup.OleDb.1;Data Source=$Workbook$;Location=&quot;Table 3 (62)&quot;;Extended Properties=&quot;&quot;" command="SELECT * FROM [Table 3 (62)]"/>
  </connection>
  <connection id="58" xr16:uid="{FF7ADC95-B0EE-4B27-A1AA-F5EE285A2A78}" keepAlive="1" name="クエリ - Table 3 (63)" description="ブック内の 'Table 3 (63)' クエリへの接続です。" type="5" refreshedVersion="0" background="1">
    <dbPr connection="Provider=Microsoft.Mashup.OleDb.1;Data Source=$Workbook$;Location=&quot;Table 3 (63)&quot;;Extended Properties=&quot;&quot;" command="SELECT * FROM [Table 3 (63)]"/>
  </connection>
  <connection id="59" xr16:uid="{9E3C50A5-DF4A-4989-9A02-D97A840BC531}" keepAlive="1" name="クエリ - Table 3 (64)" description="ブック内の 'Table 3 (64)' クエリへの接続です。" type="5" refreshedVersion="8" background="1" saveData="1">
    <dbPr connection="Provider=Microsoft.Mashup.OleDb.1;Data Source=$Workbook$;Location=&quot;Table 3 (64)&quot;;Extended Properties=&quot;&quot;" command="SELECT * FROM [Table 3 (64)]"/>
  </connection>
  <connection id="60" xr16:uid="{46E3448E-73B0-4D62-B62D-2E55B157E580}" keepAlive="1" name="クエリ - Table 3 (65)" description="ブック内の 'Table 3 (65)' クエリへの接続です。" type="5" refreshedVersion="8" background="1" saveData="1">
    <dbPr connection="Provider=Microsoft.Mashup.OleDb.1;Data Source=$Workbook$;Location=&quot;Table 3 (65)&quot;;Extended Properties=&quot;&quot;" command="SELECT * FROM [Table 3 (65)]"/>
  </connection>
  <connection id="61" xr16:uid="{54F3CD74-7489-4FB7-8D70-565154485148}" keepAlive="1" name="クエリ - Table 3 (66)" description="ブック内の 'Table 3 (66)' クエリへの接続です。" type="5" refreshedVersion="8" background="1" saveData="1">
    <dbPr connection="Provider=Microsoft.Mashup.OleDb.1;Data Source=$Workbook$;Location=&quot;Table 3 (66)&quot;;Extended Properties=&quot;&quot;" command="SELECT * FROM [Table 3 (66)]"/>
  </connection>
  <connection id="62" xr16:uid="{AADF24EB-F9B8-4687-B471-60BB18F0F795}" keepAlive="1" name="クエリ - Table 3 (67)" description="ブック内の 'Table 3 (67)' クエリへの接続です。" type="5" refreshedVersion="0" background="1">
    <dbPr connection="Provider=Microsoft.Mashup.OleDb.1;Data Source=$Workbook$;Location=&quot;Table 3 (67)&quot;;Extended Properties=&quot;&quot;" command="SELECT * FROM [Table 3 (67)]"/>
  </connection>
  <connection id="63" xr16:uid="{7B264E4C-3731-4571-9220-7CFF494EF746}" keepAlive="1" name="クエリ - Table 3 (68)" description="ブック内の 'Table 3 (68)' クエリへの接続です。" type="5" refreshedVersion="8" background="1" saveData="1">
    <dbPr connection="Provider=Microsoft.Mashup.OleDb.1;Data Source=$Workbook$;Location=&quot;Table 3 (68)&quot;;Extended Properties=&quot;&quot;" command="SELECT * FROM [Table 3 (68)]"/>
  </connection>
  <connection id="64" xr16:uid="{7DB00DCD-0E5C-4F71-823F-0F0265165258}" keepAlive="1" name="クエリ - Table 3 (69)" description="ブック内の 'Table 3 (69)' クエリへの接続です。" type="5" refreshedVersion="8" background="1" saveData="1">
    <dbPr connection="Provider=Microsoft.Mashup.OleDb.1;Data Source=$Workbook$;Location=&quot;Table 3 (69)&quot;;Extended Properties=&quot;&quot;" command="SELECT * FROM [Table 3 (69)]"/>
  </connection>
  <connection id="65" xr16:uid="{00000000-0015-0000-FFFF-FFFF0B000000}" keepAlive="1" name="クエリ - Table 3 (7)" description="ブック内の 'Table 3 (7)' クエリへの接続です。" type="5" refreshedVersion="8" background="1" saveData="1">
    <dbPr connection="Provider=Microsoft.Mashup.OleDb.1;Data Source=$Workbook$;Location=&quot;Table 3 (7)&quot;;Extended Properties=&quot;&quot;" command="SELECT * FROM [Table 3 (7)]"/>
  </connection>
  <connection id="66" xr16:uid="{02665DCA-91FA-49E0-812F-867079DA84F1}" keepAlive="1" name="クエリ - Table 3 (70)" description="ブック内の 'Table 3 (70)' クエリへの接続です。" type="5" refreshedVersion="8" background="1" saveData="1">
    <dbPr connection="Provider=Microsoft.Mashup.OleDb.1;Data Source=$Workbook$;Location=&quot;Table 3 (70)&quot;;Extended Properties=&quot;&quot;" command="SELECT * FROM [Table 3 (70)]"/>
  </connection>
  <connection id="67" xr16:uid="{05376101-A942-48DB-A9DC-EE975F683E71}" keepAlive="1" name="クエリ - Table 3 (71)" description="ブック内の 'Table 3 (71)' クエリへの接続です。" type="5" refreshedVersion="0" background="1">
    <dbPr connection="Provider=Microsoft.Mashup.OleDb.1;Data Source=$Workbook$;Location=&quot;Table 3 (71)&quot;;Extended Properties=&quot;&quot;" command="SELECT * FROM [Table 3 (71)]"/>
  </connection>
  <connection id="68" xr16:uid="{E993DDB2-F288-42A6-B4C7-F11FD2B0C5EC}" keepAlive="1" name="クエリ - Table 3 (72)" description="ブック内の 'Table 3 (72)' クエリへの接続です。" type="5" refreshedVersion="8" background="1" saveData="1">
    <dbPr connection="Provider=Microsoft.Mashup.OleDb.1;Data Source=$Workbook$;Location=&quot;Table 3 (72)&quot;;Extended Properties=&quot;&quot;" command="SELECT * FROM [Table 3 (72)]"/>
  </connection>
  <connection id="69" xr16:uid="{BD82E985-EB16-448F-9B80-02E0A82917FB}" keepAlive="1" name="クエリ - Table 3 (73)" description="ブック内の 'Table 3 (73)' クエリへの接続です。" type="5" refreshedVersion="8" background="1" saveData="1">
    <dbPr connection="Provider=Microsoft.Mashup.OleDb.1;Data Source=$Workbook$;Location=&quot;Table 3 (73)&quot;;Extended Properties=&quot;&quot;" command="SELECT * FROM [Table 3 (73)]"/>
  </connection>
  <connection id="70" xr16:uid="{88795861-4768-404F-9CD8-BE4BABEDAB7C}" keepAlive="1" name="クエリ - Table 3 (74)" description="ブック内の 'Table 3 (74)' クエリへの接続です。" type="5" refreshedVersion="8" background="1" saveData="1">
    <dbPr connection="Provider=Microsoft.Mashup.OleDb.1;Data Source=$Workbook$;Location=&quot;Table 3 (74)&quot;;Extended Properties=&quot;&quot;" command="SELECT * FROM [Table 3 (74)]"/>
  </connection>
  <connection id="71" xr16:uid="{8305E397-9ADD-4431-AE59-D9F970D938A7}" keepAlive="1" name="クエリ - Table 3 (75)" description="ブック内の 'Table 3 (75)' クエリへの接続です。" type="5" refreshedVersion="0" background="1">
    <dbPr connection="Provider=Microsoft.Mashup.OleDb.1;Data Source=$Workbook$;Location=&quot;Table 3 (75)&quot;;Extended Properties=&quot;&quot;" command="SELECT * FROM [Table 3 (75)]"/>
  </connection>
  <connection id="72" xr16:uid="{6ECB0029-D7D2-4B83-B3E6-CF749B6B124C}" keepAlive="1" name="クエリ - Table 3 (76)" description="ブック内の 'Table 3 (76)' クエリへの接続です。" type="5" refreshedVersion="8" background="1" saveData="1">
    <dbPr connection="Provider=Microsoft.Mashup.OleDb.1;Data Source=$Workbook$;Location=&quot;Table 3 (76)&quot;;Extended Properties=&quot;&quot;" command="SELECT * FROM [Table 3 (76)]"/>
  </connection>
  <connection id="73" xr16:uid="{4B2808B6-18E7-4A3C-AE71-1679BDC636B2}" keepAlive="1" name="クエリ - Table 3 (77)" description="ブック内の 'Table 3 (77)' クエリへの接続です。" type="5" refreshedVersion="0" background="1">
    <dbPr connection="Provider=Microsoft.Mashup.OleDb.1;Data Source=$Workbook$;Location=&quot;Table 3 (77)&quot;;Extended Properties=&quot;&quot;" command="SELECT * FROM [Table 3 (77)]"/>
  </connection>
  <connection id="74" xr16:uid="{FEEBCF10-25D6-4180-933D-EFF8040962BB}" keepAlive="1" name="クエリ - Table 3 (78)" description="ブック内の 'Table 3 (78)' クエリへの接続です。" type="5" refreshedVersion="8" background="1" saveData="1">
    <dbPr connection="Provider=Microsoft.Mashup.OleDb.1;Data Source=$Workbook$;Location=&quot;Table 3 (78)&quot;;Extended Properties=&quot;&quot;" command="SELECT * FROM [Table 3 (78)]"/>
  </connection>
  <connection id="75" xr16:uid="{8CD6D0C9-495E-4ABA-B561-19D254C678A4}" keepAlive="1" name="クエリ - Table 3 (79)" description="ブック内の 'Table 3 (79)' クエリへの接続です。" type="5" refreshedVersion="8" background="1" saveData="1">
    <dbPr connection="Provider=Microsoft.Mashup.OleDb.1;Data Source=$Workbook$;Location=&quot;Table 3 (79)&quot;;Extended Properties=&quot;&quot;" command="SELECT * FROM [Table 3 (79)]"/>
  </connection>
  <connection id="76" xr16:uid="{00000000-0015-0000-FFFF-FFFF0C000000}" keepAlive="1" name="クエリ - Table 3 (8)" description="ブック内の 'Table 3 (8)' クエリへの接続です。" type="5" refreshedVersion="8" background="1" saveData="1">
    <dbPr connection="Provider=Microsoft.Mashup.OleDb.1;Data Source=$Workbook$;Location=&quot;Table 3 (8)&quot;;Extended Properties=&quot;&quot;" command="SELECT * FROM [Table 3 (8)]"/>
  </connection>
  <connection id="77" xr16:uid="{C9EC232A-D1C2-4573-8DDA-AAB85115219B}" keepAlive="1" name="クエリ - Table 3 (80)" description="ブック内の 'Table 3 (80)' クエリへの接続です。" type="5" refreshedVersion="8" background="1" saveData="1">
    <dbPr connection="Provider=Microsoft.Mashup.OleDb.1;Data Source=$Workbook$;Location=&quot;Table 3 (80)&quot;;Extended Properties=&quot;&quot;" command="SELECT * FROM [Table 3 (80)]"/>
  </connection>
  <connection id="78" xr16:uid="{00000000-0015-0000-FFFF-FFFF0D000000}" keepAlive="1" name="クエリ - Table 3 (9)" description="ブック内の 'Table 3 (9)' クエリへの接続です。" type="5" refreshedVersion="0" background="1">
    <dbPr connection="Provider=Microsoft.Mashup.OleDb.1;Data Source=$Workbook$;Location=&quot;Table 3 (9)&quot;;Extended Properties=&quot;&quot;" command="SELECT * FROM [Table 3 (9)]"/>
  </connection>
  <connection id="79" xr16:uid="{4005F21F-CBFE-45CD-917B-2A149EB46346}" keepAlive="1" name="クエリ - テーブル 5" description="ブック内の 'テーブル 5' クエリへの接続です。" type="5" refreshedVersion="8" background="1" saveData="1">
    <dbPr connection="Provider=Microsoft.Mashup.OleDb.1;Data Source=$Workbook$;Location=&quot;テーブル 5&quot;;Extended Properties=&quot;&quot;" command="SELECT * FROM [テーブル 5]"/>
  </connection>
  <connection id="80" xr16:uid="{26F84E0A-2BC1-4657-927E-D1C020CF38C5}" keepAlive="1" name="クエリ - テーブル 5 (10)" description="ブック内の 'テーブル 5 (10)' クエリへの接続です。" type="5" refreshedVersion="8" background="1" saveData="1">
    <dbPr connection="Provider=Microsoft.Mashup.OleDb.1;Data Source=$Workbook$;Location=&quot;テーブル 5 (10)&quot;;Extended Properties=&quot;&quot;" command="SELECT * FROM [テーブル 5 (10)]"/>
  </connection>
  <connection id="81" xr16:uid="{5ABDF216-6D52-4542-A11F-70448CE407E0}" keepAlive="1" name="クエリ - テーブル 5 (11)" description="ブック内の 'テーブル 5 (11)' クエリへの接続です。" type="5" refreshedVersion="0" background="1">
    <dbPr connection="Provider=Microsoft.Mashup.OleDb.1;Data Source=$Workbook$;Location=&quot;テーブル 5 (11)&quot;;Extended Properties=&quot;&quot;" command="SELECT * FROM [テーブル 5 (11)]"/>
  </connection>
  <connection id="82" xr16:uid="{56DF7559-F31D-45FE-AC4A-A282EF63CCC2}" keepAlive="1" name="クエリ - テーブル 5 (12)" description="ブック内の 'テーブル 5 (12)' クエリへの接続です。" type="5" refreshedVersion="8" background="1" saveData="1">
    <dbPr connection="Provider=Microsoft.Mashup.OleDb.1;Data Source=$Workbook$;Location=&quot;テーブル 5 (12)&quot;;Extended Properties=&quot;&quot;" command="SELECT * FROM [テーブル 5 (12)]"/>
  </connection>
  <connection id="83" xr16:uid="{AFB6CB50-54F7-4C28-ABE3-DDC509A650DB}" keepAlive="1" name="クエリ - テーブル 5 (13)" description="ブック内の 'テーブル 5 (13)' クエリへの接続です。" type="5" refreshedVersion="8" background="1" saveData="1">
    <dbPr connection="Provider=Microsoft.Mashup.OleDb.1;Data Source=$Workbook$;Location=&quot;テーブル 5 (13)&quot;;Extended Properties=&quot;&quot;" command="SELECT * FROM [テーブル 5 (13)]"/>
  </connection>
  <connection id="84" xr16:uid="{9ABB352C-0CCD-4E59-B88E-02E96DE307EE}" keepAlive="1" name="クエリ - テーブル 5 (14)" description="ブック内の 'テーブル 5 (14)' クエリへの接続です。" type="5" refreshedVersion="8" background="1" saveData="1">
    <dbPr connection="Provider=Microsoft.Mashup.OleDb.1;Data Source=$Workbook$;Location=&quot;テーブル 5 (14)&quot;;Extended Properties=&quot;&quot;" command="SELECT * FROM [テーブル 5 (14)]"/>
  </connection>
  <connection id="85" xr16:uid="{9CC89927-069A-4C2A-ADC9-326F77EB1429}" keepAlive="1" name="クエリ - テーブル 5 (15)" description="ブック内の 'テーブル 5 (15)' クエリへの接続です。" type="5" refreshedVersion="0" background="1">
    <dbPr connection="Provider=Microsoft.Mashup.OleDb.1;Data Source=$Workbook$;Location=&quot;テーブル 5 (15)&quot;;Extended Properties=&quot;&quot;" command="SELECT * FROM [テーブル 5 (15)]"/>
  </connection>
  <connection id="86" xr16:uid="{93E48093-F915-4882-BAC3-C964F603F1C7}" keepAlive="1" name="クエリ - テーブル 5 (16)" description="ブック内の 'テーブル 5 (16)' クエリへの接続です。" type="5" refreshedVersion="8" background="1" saveData="1">
    <dbPr connection="Provider=Microsoft.Mashup.OleDb.1;Data Source=$Workbook$;Location=&quot;テーブル 5 (16)&quot;;Extended Properties=&quot;&quot;" command="SELECT * FROM [テーブル 5 (16)]"/>
  </connection>
  <connection id="87" xr16:uid="{B31EBC3B-614B-4885-A0E6-3E57C6664771}" keepAlive="1" name="クエリ - テーブル 5 (17)" description="ブック内の 'テーブル 5 (17)' クエリへの接続です。" type="5" refreshedVersion="8" background="1" saveData="1">
    <dbPr connection="Provider=Microsoft.Mashup.OleDb.1;Data Source=$Workbook$;Location=&quot;テーブル 5 (17)&quot;;Extended Properties=&quot;&quot;" command="SELECT * FROM [テーブル 5 (17)]"/>
  </connection>
  <connection id="88" xr16:uid="{7960DE4F-875B-408F-993F-40DB66B61398}" keepAlive="1" name="クエリ - テーブル 5 (18)" description="ブック内の 'テーブル 5 (18)' クエリへの接続です。" type="5" refreshedVersion="8" background="1" saveData="1">
    <dbPr connection="Provider=Microsoft.Mashup.OleDb.1;Data Source=$Workbook$;Location=&quot;テーブル 5 (18)&quot;;Extended Properties=&quot;&quot;" command="SELECT * FROM [テーブル 5 (18)]"/>
  </connection>
  <connection id="89" xr16:uid="{C8E55768-5433-4125-ADA9-8535EF84ECED}" keepAlive="1" name="クエリ - テーブル 5 (19)" description="ブック内の 'テーブル 5 (19)' クエリへの接続です。" type="5" refreshedVersion="0" background="1">
    <dbPr connection="Provider=Microsoft.Mashup.OleDb.1;Data Source=$Workbook$;Location=&quot;テーブル 5 (19)&quot;;Extended Properties=&quot;&quot;" command="SELECT * FROM [テーブル 5 (19)]"/>
  </connection>
  <connection id="90" xr16:uid="{DF72AB92-0560-4939-B906-6C6A070C3B1D}" keepAlive="1" name="クエリ - テーブル 5 (2)" description="ブック内の 'テーブル 5 (2)' クエリへの接続です。" type="5" refreshedVersion="8" background="1" saveData="1">
    <dbPr connection="Provider=Microsoft.Mashup.OleDb.1;Data Source=$Workbook$;Location=&quot;テーブル 5 (2)&quot;;Extended Properties=&quot;&quot;" command="SELECT * FROM [テーブル 5 (2)]"/>
  </connection>
  <connection id="91" xr16:uid="{79F63E29-B41C-4785-B5C8-39BE2C61A022}" keepAlive="1" name="クエリ - テーブル 5 (20)" description="ブック内の 'テーブル 5 (20)' クエリへの接続です。" type="5" refreshedVersion="8" background="1" saveData="1">
    <dbPr connection="Provider=Microsoft.Mashup.OleDb.1;Data Source=$Workbook$;Location=&quot;テーブル 5 (20)&quot;;Extended Properties=&quot;&quot;" command="SELECT * FROM [テーブル 5 (20)]"/>
  </connection>
  <connection id="92" xr16:uid="{C5F0CE8E-5236-4C12-9938-A5A579A166BD}" keepAlive="1" name="クエリ - テーブル 5 (21)" description="ブック内の 'テーブル 5 (21)' クエリへの接続です。" type="5" refreshedVersion="8" background="1" saveData="1">
    <dbPr connection="Provider=Microsoft.Mashup.OleDb.1;Data Source=$Workbook$;Location=&quot;テーブル 5 (21)&quot;;Extended Properties=&quot;&quot;" command="SELECT * FROM [テーブル 5 (21)]"/>
  </connection>
  <connection id="93" xr16:uid="{A0703D91-F949-43E0-AAEB-CCBE3165516D}" keepAlive="1" name="クエリ - テーブル 5 (22)" description="ブック内の 'テーブル 5 (22)' クエリへの接続です。" type="5" refreshedVersion="8" background="1" saveData="1">
    <dbPr connection="Provider=Microsoft.Mashup.OleDb.1;Data Source=$Workbook$;Location=&quot;テーブル 5 (22)&quot;;Extended Properties=&quot;&quot;" command="SELECT * FROM [テーブル 5 (22)]"/>
  </connection>
  <connection id="94" xr16:uid="{46CD58C3-08F0-4E49-AA61-AB7949C5757F}" keepAlive="1" name="クエリ - テーブル 5 (23)" description="ブック内の 'テーブル 5 (23)' クエリへの接続です。" type="5" refreshedVersion="8" background="1" saveData="1">
    <dbPr connection="Provider=Microsoft.Mashup.OleDb.1;Data Source=$Workbook$;Location=&quot;テーブル 5 (23)&quot;;Extended Properties=&quot;&quot;" command="SELECT * FROM [テーブル 5 (23)]"/>
  </connection>
  <connection id="95" xr16:uid="{6FDBFA2F-ADFC-440E-976E-EB765D94B592}" keepAlive="1" name="クエリ - テーブル 5 (24)" description="ブック内の 'テーブル 5 (24)' クエリへの接続です。" type="5" refreshedVersion="8" background="1" saveData="1">
    <dbPr connection="Provider=Microsoft.Mashup.OleDb.1;Data Source=$Workbook$;Location=&quot;テーブル 5 (24)&quot;;Extended Properties=&quot;&quot;" command="SELECT * FROM [テーブル 5 (24)]"/>
  </connection>
  <connection id="96" xr16:uid="{D94BC252-1638-42E3-A1D3-7C4861AFC728}" keepAlive="1" name="クエリ - テーブル 5 (25)" description="ブック内の 'テーブル 5 (25)' クエリへの接続です。" type="5" refreshedVersion="8" background="1" saveData="1">
    <dbPr connection="Provider=Microsoft.Mashup.OleDb.1;Data Source=$Workbook$;Location=&quot;テーブル 5 (25)&quot;;Extended Properties=&quot;&quot;" command="SELECT * FROM [テーブル 5 (25)]"/>
  </connection>
  <connection id="97" xr16:uid="{13639DD2-86CB-4DA2-8DB0-7B58FC1A2F22}" keepAlive="1" name="クエリ - テーブル 5 (26)" description="ブック内の 'テーブル 5 (26)' クエリへの接続です。" type="5" refreshedVersion="8" background="1" saveData="1">
    <dbPr connection="Provider=Microsoft.Mashup.OleDb.1;Data Source=$Workbook$;Location=&quot;テーブル 5 (26)&quot;;Extended Properties=&quot;&quot;" command="SELECT * FROM [テーブル 5 (26)]"/>
  </connection>
  <connection id="98" xr16:uid="{1203CF8E-8C42-432E-BFC6-53B97B3F0E37}" keepAlive="1" name="クエリ - テーブル 5 (27)" description="ブック内の 'テーブル 5 (27)' クエリへの接続です。" type="5" refreshedVersion="8" background="1" saveData="1">
    <dbPr connection="Provider=Microsoft.Mashup.OleDb.1;Data Source=$Workbook$;Location=&quot;テーブル 5 (27)&quot;;Extended Properties=&quot;&quot;" command="SELECT * FROM [テーブル 5 (27)]"/>
  </connection>
  <connection id="99" xr16:uid="{A16F3CEE-F1A8-48A9-A95E-0B697CBC8247}" keepAlive="1" name="クエリ - テーブル 5 (28)" description="ブック内の 'テーブル 5 (28)' クエリへの接続です。" type="5" refreshedVersion="8" background="1" saveData="1">
    <dbPr connection="Provider=Microsoft.Mashup.OleDb.1;Data Source=$Workbook$;Location=&quot;テーブル 5 (28)&quot;;Extended Properties=&quot;&quot;" command="SELECT * FROM [テーブル 5 (28)]"/>
  </connection>
  <connection id="100" xr16:uid="{B910D808-16D2-4ADB-A270-37C34675767A}" keepAlive="1" name="クエリ - テーブル 5 (29)" description="ブック内の 'テーブル 5 (29)' クエリへの接続です。" type="5" refreshedVersion="8" background="1" saveData="1">
    <dbPr connection="Provider=Microsoft.Mashup.OleDb.1;Data Source=$Workbook$;Location=&quot;テーブル 5 (29)&quot;;Extended Properties=&quot;&quot;" command="SELECT * FROM [テーブル 5 (29)]"/>
  </connection>
  <connection id="101" xr16:uid="{D837CAA7-E833-46E1-810D-98B4937DDDE4}" keepAlive="1" name="クエリ - テーブル 5 (3)" description="ブック内の 'テーブル 5 (3)' クエリへの接続です。" type="5" refreshedVersion="0" background="1">
    <dbPr connection="Provider=Microsoft.Mashup.OleDb.1;Data Source=$Workbook$;Location=&quot;テーブル 5 (3)&quot;;Extended Properties=&quot;&quot;" command="SELECT * FROM [テーブル 5 (3)]"/>
  </connection>
  <connection id="102" xr16:uid="{36BEAD91-F848-4936-AB7D-D6A481BC8093}" keepAlive="1" name="クエリ - テーブル 5 (30)" description="ブック内の 'テーブル 5 (30)' クエリへの接続です。" type="5" refreshedVersion="8" background="1" saveData="1">
    <dbPr connection="Provider=Microsoft.Mashup.OleDb.1;Data Source=$Workbook$;Location=&quot;テーブル 5 (30)&quot;;Extended Properties=&quot;&quot;" command="SELECT * FROM [テーブル 5 (30)]"/>
  </connection>
  <connection id="103" xr16:uid="{74028095-084D-406A-9D5E-39FC61FBC8F0}" keepAlive="1" name="クエリ - テーブル 5 (31)" description="ブック内の 'テーブル 5 (31)' クエリへの接続です。" type="5" refreshedVersion="8" background="1" saveData="1">
    <dbPr connection="Provider=Microsoft.Mashup.OleDb.1;Data Source=$Workbook$;Location=&quot;テーブル 5 (31)&quot;;Extended Properties=&quot;&quot;" command="SELECT * FROM [テーブル 5 (31)]"/>
  </connection>
  <connection id="104" xr16:uid="{BAEA1A37-99AF-4469-B30B-45FBFFC0CC86}" keepAlive="1" name="クエリ - テーブル 5 (32)" description="ブック内の 'テーブル 5 (32)' クエリへの接続です。" type="5" refreshedVersion="8" background="1" saveData="1">
    <dbPr connection="Provider=Microsoft.Mashup.OleDb.1;Data Source=$Workbook$;Location=&quot;テーブル 5 (32)&quot;;Extended Properties=&quot;&quot;" command="SELECT * FROM [テーブル 5 (32)]"/>
  </connection>
  <connection id="105" xr16:uid="{7CCE002F-9BAA-44CB-994B-57B846DA9E21}" keepAlive="1" name="クエリ - テーブル 5 (33)" description="ブック内の 'テーブル 5 (33)' クエリへの接続です。" type="5" refreshedVersion="8" background="1" saveData="1">
    <dbPr connection="Provider=Microsoft.Mashup.OleDb.1;Data Source=$Workbook$;Location=&quot;テーブル 5 (33)&quot;;Extended Properties=&quot;&quot;" command="SELECT * FROM [テーブル 5 (33)]"/>
  </connection>
  <connection id="106" xr16:uid="{6544EA70-0EDD-438B-86F8-77B08B50DE06}" keepAlive="1" name="クエリ - テーブル 5 (34)" description="ブック内の 'テーブル 5 (34)' クエリへの接続です。" type="5" refreshedVersion="8" background="1" saveData="1">
    <dbPr connection="Provider=Microsoft.Mashup.OleDb.1;Data Source=$Workbook$;Location=&quot;テーブル 5 (34)&quot;;Extended Properties=&quot;&quot;" command="SELECT * FROM [テーブル 5 (34)]"/>
  </connection>
  <connection id="107" xr16:uid="{F2FCEC10-3FD7-4126-A895-B61E1FEBB0BB}" keepAlive="1" name="クエリ - テーブル 5 (35)" description="ブック内の 'テーブル 5 (35)' クエリへの接続です。" type="5" refreshedVersion="8" background="1" saveData="1">
    <dbPr connection="Provider=Microsoft.Mashup.OleDb.1;Data Source=$Workbook$;Location=&quot;テーブル 5 (35)&quot;;Extended Properties=&quot;&quot;" command="SELECT * FROM [テーブル 5 (35)]"/>
  </connection>
  <connection id="108" xr16:uid="{7EA25496-C4A6-444D-B133-112FF16EF028}" keepAlive="1" name="クエリ - テーブル 5 (36)" description="ブック内の 'テーブル 5 (36)' クエリへの接続です。" type="5" refreshedVersion="8" background="1" saveData="1">
    <dbPr connection="Provider=Microsoft.Mashup.OleDb.1;Data Source=$Workbook$;Location=&quot;テーブル 5 (36)&quot;;Extended Properties=&quot;&quot;" command="SELECT * FROM [テーブル 5 (36)]"/>
  </connection>
  <connection id="109" xr16:uid="{A31F22B0-CB8E-4530-A9F1-CCB2EE200259}" keepAlive="1" name="クエリ - テーブル 5 (37)" description="ブック内の 'テーブル 5 (37)' クエリへの接続です。" type="5" refreshedVersion="8" background="1" saveData="1">
    <dbPr connection="Provider=Microsoft.Mashup.OleDb.1;Data Source=$Workbook$;Location=&quot;テーブル 5 (37)&quot;;Extended Properties=&quot;&quot;" command="SELECT * FROM [テーブル 5 (37)]"/>
  </connection>
  <connection id="110" xr16:uid="{A5E57733-B48A-4985-B31C-9B6BBF618E08}" keepAlive="1" name="クエリ - テーブル 5 (38)" description="ブック内の 'テーブル 5 (38)' クエリへの接続です。" type="5" refreshedVersion="8" background="1" saveData="1">
    <dbPr connection="Provider=Microsoft.Mashup.OleDb.1;Data Source=$Workbook$;Location=&quot;テーブル 5 (38)&quot;;Extended Properties=&quot;&quot;" command="SELECT * FROM [テーブル 5 (38)]"/>
  </connection>
  <connection id="111" xr16:uid="{54F7DB3E-2D10-46A8-8605-A4B5CD9147C4}" keepAlive="1" name="クエリ - テーブル 5 (39)" description="ブック内の 'テーブル 5 (39)' クエリへの接続です。" type="5" refreshedVersion="8" background="1" saveData="1">
    <dbPr connection="Provider=Microsoft.Mashup.OleDb.1;Data Source=$Workbook$;Location=&quot;テーブル 5 (39)&quot;;Extended Properties=&quot;&quot;" command="SELECT * FROM [テーブル 5 (39)]"/>
  </connection>
  <connection id="112" xr16:uid="{AB12C7AD-25D5-4D0C-B276-24BD37943E4B}" keepAlive="1" name="クエリ - テーブル 5 (4)" description="ブック内の 'テーブル 5 (4)' クエリへの接続です。" type="5" refreshedVersion="8" background="1" saveData="1">
    <dbPr connection="Provider=Microsoft.Mashup.OleDb.1;Data Source=$Workbook$;Location=&quot;テーブル 5 (4)&quot;;Extended Properties=&quot;&quot;" command="SELECT * FROM [テーブル 5 (4)]"/>
  </connection>
  <connection id="113" xr16:uid="{66B53B4B-1358-4775-94DB-3F8C8717C271}" keepAlive="1" name="クエリ - テーブル 5 (40)" description="ブック内の 'テーブル 5 (40)' クエリへの接続です。" type="5" refreshedVersion="8" background="1" saveData="1">
    <dbPr connection="Provider=Microsoft.Mashup.OleDb.1;Data Source=$Workbook$;Location=&quot;テーブル 5 (40)&quot;;Extended Properties=&quot;&quot;" command="SELECT * FROM [テーブル 5 (40)]"/>
  </connection>
  <connection id="114" xr16:uid="{FE8A8A31-47AF-45A0-8FCC-B8275FB8CD7A}" keepAlive="1" name="クエリ - テーブル 5 (41)" description="ブック内の 'テーブル 5 (41)' クエリへの接続です。" type="5" refreshedVersion="8" background="1" saveData="1">
    <dbPr connection="Provider=Microsoft.Mashup.OleDb.1;Data Source=$Workbook$;Location=&quot;テーブル 5 (41)&quot;;Extended Properties=&quot;&quot;" command="SELECT * FROM [テーブル 5 (41)]"/>
  </connection>
  <connection id="115" xr16:uid="{579514D7-861A-4725-94F9-BF6706ACBB0F}" keepAlive="1" name="クエリ - テーブル 5 (42)" description="ブック内の 'テーブル 5 (42)' クエリへの接続です。" type="5" refreshedVersion="8" background="1" saveData="1">
    <dbPr connection="Provider=Microsoft.Mashup.OleDb.1;Data Source=$Workbook$;Location=&quot;テーブル 5 (42)&quot;;Extended Properties=&quot;&quot;" command="SELECT * FROM [テーブル 5 (42)]"/>
  </connection>
  <connection id="116" xr16:uid="{1D9DB944-4270-41AA-8EFE-094EF4CEA550}" keepAlive="1" name="クエリ - テーブル 5 (5)" description="ブック内の 'テーブル 5 (5)' クエリへの接続です。" type="5" refreshedVersion="8" background="1" saveData="1">
    <dbPr connection="Provider=Microsoft.Mashup.OleDb.1;Data Source=$Workbook$;Location=&quot;テーブル 5 (5)&quot;;Extended Properties=&quot;&quot;" command="SELECT * FROM [テーブル 5 (5)]"/>
  </connection>
  <connection id="117" xr16:uid="{C132A259-7308-4540-B0B9-8234599F5E7B}" keepAlive="1" name="クエリ - テーブル 5 (6)" description="ブック内の 'テーブル 5 (6)' クエリへの接続です。" type="5" refreshedVersion="8" background="1" saveData="1">
    <dbPr connection="Provider=Microsoft.Mashup.OleDb.1;Data Source=$Workbook$;Location=&quot;テーブル 5 (6)&quot;;Extended Properties=&quot;&quot;" command="SELECT * FROM [テーブル 5 (6)]"/>
  </connection>
  <connection id="118" xr16:uid="{00608C06-2B00-4F10-97AD-CDE3B794B7CB}" keepAlive="1" name="クエリ - テーブル 5 (7)" description="ブック内の 'テーブル 5 (7)' クエリへの接続です。" type="5" refreshedVersion="0" background="1">
    <dbPr connection="Provider=Microsoft.Mashup.OleDb.1;Data Source=$Workbook$;Location=&quot;テーブル 5 (7)&quot;;Extended Properties=&quot;&quot;" command="SELECT * FROM [テーブル 5 (7)]"/>
  </connection>
  <connection id="119" xr16:uid="{C5162D1F-3C13-47F3-99A8-D69F0D404C31}" keepAlive="1" name="クエリ - テーブル 5 (8)" description="ブック内の 'テーブル 5 (8)' クエリへの接続です。" type="5" refreshedVersion="8" background="1" saveData="1">
    <dbPr connection="Provider=Microsoft.Mashup.OleDb.1;Data Source=$Workbook$;Location=&quot;テーブル 5 (8)&quot;;Extended Properties=&quot;&quot;" command="SELECT * FROM [テーブル 5 (8)]"/>
  </connection>
  <connection id="120" xr16:uid="{2F76004B-5DDB-4D95-A2BA-56750AE269FA}" keepAlive="1" name="クエリ - テーブル 5 (9)" description="ブック内の 'テーブル 5 (9)' クエリへの接続です。" type="5" refreshedVersion="8" background="1" saveData="1">
    <dbPr connection="Provider=Microsoft.Mashup.OleDb.1;Data Source=$Workbook$;Location=&quot;テーブル 5 (9)&quot;;Extended Properties=&quot;&quot;" command="SELECT * FROM [テーブル 5 (9)]"/>
  </connection>
</connections>
</file>

<file path=xl/sharedStrings.xml><?xml version="1.0" encoding="utf-8"?>
<sst xmlns="http://schemas.openxmlformats.org/spreadsheetml/2006/main" count="246" uniqueCount="42">
  <si>
    <t>|</t>
    <phoneticPr fontId="1"/>
  </si>
  <si>
    <t xml:space="preserve"> --- </t>
    <phoneticPr fontId="1"/>
  </si>
  <si>
    <t xml:space="preserve"> ----- </t>
    <phoneticPr fontId="1"/>
  </si>
  <si>
    <t>Composer</t>
  </si>
  <si>
    <t>Title</t>
  </si>
  <si>
    <t>Time</t>
  </si>
  <si>
    <t>Performer</t>
  </si>
  <si>
    <t>No.</t>
  </si>
  <si>
    <t>Smoke</t>
  </si>
  <si>
    <t>Dr. Dre, Focus…, Dem Jointz, Erik “Bluetooth” Griggs, Jerome Kern, Kion
                  Williams, Marsha Ambrosius</t>
  </si>
  <si>
    <t>Marsha Ambrosius</t>
  </si>
  <si>
    <t>Tunisian Nights</t>
  </si>
  <si>
    <t>Marsha Ambrosius, Dr. Dre, Dem Jointz, Erik “Bluetooth” Griggs, Mary J.
                  Blige, Rick James, Nas, DJ Premier, Eric B., Rakim, Dizzy Gillespie, Frank
                  Paparelli and Jon Hendricks</t>
  </si>
  <si>
    <t>One Night Stand</t>
  </si>
  <si>
    <t>Marsha Ambrosius, Dr. Dre, Erik “Bluetooth” Griggs, Slim The Mobster, Patrice
                  Rushen, Rick James, Karen Evans, Keni Burke, Norma Jean Wright, Allan Felder</t>
  </si>
  <si>
    <t>Cloudy With a Chance of...Real</t>
  </si>
  <si>
    <t>Marsha Ambrosius, Dr. Dre, Dem Jointz, Focus…, Erik “Bluetooth” Griggs,
                  Sly Pyper, Jimmy Heath, Bacharach &amp; David, Burt Bacharach, Hal David,
                  Thom Bell, Roy C, Milk Dee, Casey James</t>
  </si>
  <si>
    <t>Greedy</t>
  </si>
  <si>
    <t>Marsha Ambrosius, Dr. Dre, Trevor Lawrence Jr., Erik “Bluetooth” Griggs,
                  Focus…, Sly Pyper, Christopher Anderson-Bazzoli, André 3000, Big Boi, Sleepy
                  Brown, Leon Russell</t>
  </si>
  <si>
    <t>Self Care/Wrong Right</t>
  </si>
  <si>
    <t>Marsha Ambrosius, Dr. Dre, DJ Khalil, Phonix Beats, Sly Pyper, Stevie Wonder,
                  Jay Card, Lorenzo Johnson, Daniel Seeff</t>
  </si>
  <si>
    <t>Wet</t>
  </si>
  <si>
    <t>Marsha Ambrosius, Dr. Dre, Focus…, Erik “Bluetooth” Griggs, Minnie Riperton,
                  Richard Rudolph, Leon Ware, James Moody, Dorothy Fields, Jimmy McHugh,
                  Harold Arlen, Ted Koehler, Method Man, RZA, GZA, Ol’ Dirty Bastard, Inspectah
                  Deck, Raekwon, U-God, Ghostface Killah</t>
  </si>
  <si>
    <t>Thrill Her</t>
  </si>
  <si>
    <t>Marsha Ambrosius, Dr. Dre, Erik “Bluetooth” Griggs, Michael Jackson, Method
                  Man, Raekwon, Ghostface Killah, Inspectah Deck, RZA, Ol’ Dirty Bastard,
                  GZA, Isaac Hayes, David Porter, Duke Ellington, Irving Mills, Mann Curtis</t>
  </si>
  <si>
    <t>The Greatest</t>
  </si>
  <si>
    <t>Marsha Ambrosius, Dr. Dre, Dem Jointz, Focus…, Trevor Lawrence Jr., Erik
                  “Bluetooth” Griggs</t>
  </si>
  <si>
    <t>Best I Could Find</t>
  </si>
  <si>
    <t>Marsha Ambrosius, Dr. Dre, Sly Pyper, Stevie Wonder</t>
  </si>
  <si>
    <t>Music of My Mind</t>
  </si>
  <si>
    <t>Marsha Ambrosius, Dr. Dre, Dem Jointz, Erik “Bluetooth” Griggs, Focus…,
                  Al B. Sure!, Kyle West, My Guy Mars, Rance, Just Blaze, Kanye West, Antônio
                  Carlos Jobim, Andre Harris, Holland-Dozier-Holland, Brian Holland, Lamont
                  Dozier, Eddie Holland, Maurice White, Norman Gimbel, Natalie Stewart, Patrice
                  Rushen, Freddie Washington, Terri McFaddin, Sterling Simms, Vinícius de
                  Moraes, Gilbert O’Sullivan</t>
  </si>
  <si>
    <t>Dr. Dre, Focus…, Dem Jointz, Erik “Bluetooth” Griggs, Jerome Kern, Kion                  Williams, Marsha Ambrosius</t>
    <phoneticPr fontId="1"/>
  </si>
  <si>
    <t>Marsha Ambrosius, Dr. Dre, Dem Jointz, Erik “Bluetooth” Griggs, Mary J.                  Blige, Rick James, Nas, DJ Premier, Eric B., Rakim, Dizzy Gillespie, Frank                  Paparelli and Jon Hendricks</t>
    <phoneticPr fontId="1"/>
  </si>
  <si>
    <t>Marsha Ambrosius, Dr. Dre, Erik “Bluetooth” Griggs, Slim The Mobster, Patrice                  Rushen, Rick James, Karen Evans, Keni Burke, Norma Jean Wright, Allan Felder</t>
    <phoneticPr fontId="1"/>
  </si>
  <si>
    <t>Marsha Ambrosius, Dr. Dre, Dem Jointz, Focus…, Erik “Bluetooth” Griggs,                  Sly Pyper, Jimmy Heath, Bacharach &amp; David, Burt Bacharach, Hal David,                  Thom Bell, Roy C, Milk Dee, CaseyJames</t>
    <phoneticPr fontId="1"/>
  </si>
  <si>
    <t>Marsha Ambrosius, Dr. Dre, Trevor Lawrence Jr., Erik “Bluetooth” Griggs,                  Focus…, Sly Pyper, Christopher Anderson-Bazzoli, André 3000, Big Boi, Sleepy                  Brown, Leon Russell</t>
    <phoneticPr fontId="1"/>
  </si>
  <si>
    <t>Marsha Ambrosius, Dr. Dre, DJ Khalil, Phonix Beats, Sly Pyper, Stevie Wonder,                  Jay Card, Lorenzo Johnson, Daniel Seeff</t>
    <phoneticPr fontId="1"/>
  </si>
  <si>
    <t>Marsha Ambrosius, Dr. Dre, Focus…, Erik “Bluetooth” Griggs, Minnie Riperton,                  Richard Rudolph, Leon Ware, James Moody, Dorothy Fields, Jimmy McHugh,                  Harold Arlen, Ted Koehler, Method Man, RZA, GZA, Ol’ Dirty Bastard, Inspectah                  Deck, Raekwon, U-God, Ghostface Killah</t>
    <phoneticPr fontId="1"/>
  </si>
  <si>
    <t>Marsha Ambrosius, Dr. Dre, Dem Jointz, Focus…, Trevor Lawrence Jr., Erik                  “Bluetooth” Griggs</t>
    <phoneticPr fontId="1"/>
  </si>
  <si>
    <t>Marsha Ambrosius, Dr. Dre, Sly Pyper, Stevie Wonder</t>
    <phoneticPr fontId="1"/>
  </si>
  <si>
    <t>Marsha Ambrosius, Dr. Dre, Erik “Bluetooth” Griggs, Michael Jackson, Method                  Man, Raekwon, Ghostface Killah, Inspectah Deck, RZA, Ol’ Dirty Bastard,                  GZA, Isaac Hayes, David Porter, Duke Ellington, Irving Mills, Mann Curtis</t>
    <phoneticPr fontId="1"/>
  </si>
  <si>
    <t>Marsha Ambrosius, Dr. Dre, Dem Jointz, Erik “Bluetooth” Griggs, Focus…,                  Al B. Sure!, Kyle West, My Guy Mars, Rance, Just Blaze, Kanye West, Antônio                  Carlos Jobim, Andre Harris, Holland-Dozier-Holland, Brian Holland, Lamont                  Dozier, Eddie Holland, Maurice White, Norman Gimbel, Natalie Stewart, Patrice                  Rushen, Freddie Washington, Terri McFaddin, Sterling Simms, Vinícius de                  Moraes, Gilbert O’Sullivan</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</si>
</sst>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h:mm;@"/>
    <numFmt numFmtId="177" formatCode="[$-F400]h:mm:ss\ AM/PM"/>
  </numFmts>
  <fonts count="3">
    <font>
      <sz val="12"/>
      <color theme="1"/>
      <name val="游ゴシック"/>
      <family val="2"/>
      <charset val="128"/>
      <scheme val="minor"/>
    </font>
    <font>
      <sz val="6"/>
      <name val="游ゴシック"/>
      <family val="2"/>
      <charset val="128"/>
      <scheme val="minor"/>
    </font>
    <font>
      <sz val="10"/>
      <color theme="1"/>
      <name val="Arial Unicode MS"/>
      <family val="2"/>
    </font>
  </fonts>
  <fills count="2">
    <fill>
      <patternFill patternType="none"/>
    </fill>
    <fill>
      <patternFill patternType="gray125"/>
    </fill>
  </fills>
  <borders count="1">
    <border>
      <left/>
      <right/>
      <top/>
      <bottom/>
      <diagonal/>
    </border>
  </borders>
  <cellStyleXfs count="1">
    <xf numFmtId="0" fontId="0" fillId="0" borderId="0">
      <alignment vertical="center"/>
    </xf>
  </cellStyleXfs>
  <cellXfs count="8">
    <xf numFmtId="0" fontId="0" fillId="0" borderId="0" xfId="0">
      <alignment vertical="center"/>
    </xf>
    <xf numFmtId="0" fontId="2" fillId="0" borderId="0" xfId="0" applyFont="1">
      <alignment vertical="center"/>
    </xf>
    <xf numFmtId="176" fontId="0" fillId="0" borderId="0" xfId="0" applyNumberFormat="1">
      <alignment vertical="center"/>
    </xf>
    <xf numFmtId="0" fontId="0" fillId="0" borderId="0" xfId="0" applyAlignment="1">
      <alignment horizontal="center" vertical="center"/>
    </xf>
    <xf numFmtId="49" fontId="0" fillId="0" borderId="0" xfId="0" applyNumberFormat="1">
      <alignment vertical="center"/>
    </xf>
    <xf numFmtId="177" fontId="0" fillId="0" borderId="0" xfId="0" applyNumberFormat="1">
      <alignment vertical="center"/>
    </xf>
    <xf numFmtId="0" fontId="0" fillId="0" borderId="0" xfId="0" applyNumberFormat="1">
      <alignment vertical="center"/>
    </xf>
    <xf numFmtId="0" fontId="0" fillId="0" borderId="0" xfId="0" applyNumberFormat="1" applyAlignment="1">
      <alignment vertical="center" wrapText="1"/>
    </xf>
  </cellXfs>
  <cellStyles count="1">
    <cellStyle name="標準" xfId="0" builtinId="0"/>
  </cellStyles>
  <dxfs count="8">
    <dxf>
      <numFmt numFmtId="177" formatCode="[$-F400]h:mm:ss\ AM/PM"/>
    </dxf>
    <dxf>
      <numFmt numFmtId="0" formatCode="General"/>
    </dxf>
    <dxf>
      <numFmt numFmtId="0" formatCode="General"/>
    </dxf>
    <dxf>
      <numFmt numFmtId="0" formatCode="General"/>
    </dxf>
    <dxf>
      <numFmt numFmtId="177" formatCode="[$-F400]h:mm:ss\ AM/PM"/>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115" xr16:uid="{81A99D43-D6B2-43CA-B44C-ED121D8FC899}" autoFormatId="20" applyNumberFormats="0" applyBorderFormats="0" applyFontFormats="0" applyPatternFormats="0" applyAlignmentFormats="0" applyWidthHeightFormats="0">
  <queryTableRefresh nextId="6">
    <queryTableFields count="5">
      <queryTableField id="1" name="No." tableColumnId="1"/>
      <queryTableField id="2" name="Title" tableColumnId="2"/>
      <queryTableField id="3" name="Composer" tableColumnId="3"/>
      <queryTableField id="4" name="Performer" tableColumnId="4"/>
      <queryTableField id="5" name="Time" tableColumnId="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114" xr16:uid="{72413D31-3338-437C-B534-BC76A824B275}" autoFormatId="20" applyNumberFormats="0" applyBorderFormats="0" applyFontFormats="0" applyPatternFormats="0" applyAlignmentFormats="0" applyWidthHeightFormats="0">
  <queryTableRefresh nextId="6">
    <queryTableFields count="5">
      <queryTableField id="1" name="No." tableColumnId="1"/>
      <queryTableField id="2" name="Title" tableColumnId="2"/>
      <queryTableField id="3" name="Composer" tableColumnId="3"/>
      <queryTableField id="4" name="Performer" tableColumnId="4"/>
      <queryTableField id="5" name="Time" tableColumnId="5"/>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5B97006-8415-49EE-8019-E92E10F82289}" name="テーブル_5__413" displayName="テーブル_5__413" ref="A1:E12" tableType="queryTable" totalsRowShown="0">
  <autoFilter ref="A1:E12" xr:uid="{B5B97006-8415-49EE-8019-E92E10F82289}"/>
  <tableColumns count="5">
    <tableColumn id="1" xr3:uid="{E2892B2C-8654-464F-A309-463F996E3B11}" uniqueName="1" name="No." queryTableFieldId="1"/>
    <tableColumn id="2" xr3:uid="{74DF7446-4550-4AB5-94AE-3141CF0C7137}" uniqueName="2" name="Title" queryTableFieldId="2" dataDxfId="3"/>
    <tableColumn id="3" xr3:uid="{8C3458C7-0EA5-40A0-9898-655EE303500E}" uniqueName="3" name="Composer" queryTableFieldId="3" dataDxfId="2"/>
    <tableColumn id="4" xr3:uid="{C60A4FEA-9811-490C-843F-BAD9D2C1E531}" uniqueName="4" name="Performer" queryTableFieldId="4" dataDxfId="1"/>
    <tableColumn id="5" xr3:uid="{37D9EF52-80E5-4072-B9FE-9B0D2FE04EF1}" uniqueName="5" name="Time" queryTableFieldId="5" dataDxfId="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B03E3D-C461-4A6D-AFAE-D6EF4ABDCB24}" name="テーブル_5__41" displayName="テーブル_5__41" ref="A1:E12" tableType="queryTable" totalsRowShown="0">
  <autoFilter ref="A1:E12" xr:uid="{4FB03E3D-C461-4A6D-AFAE-D6EF4ABDCB24}"/>
  <tableColumns count="5">
    <tableColumn id="1" xr3:uid="{E86B7FBA-D4AA-4F40-B8D7-C471D8404178}" uniqueName="1" name="No." queryTableFieldId="1"/>
    <tableColumn id="2" xr3:uid="{7CE06218-C3ED-4106-8E8A-C8D8D70E9808}" uniqueName="2" name="Title" queryTableFieldId="2" dataDxfId="7"/>
    <tableColumn id="3" xr3:uid="{A8ABE9EB-4307-44AF-A969-96CD7495062E}" uniqueName="3" name="Composer" queryTableFieldId="3" dataDxfId="6"/>
    <tableColumn id="4" xr3:uid="{EFACFACC-D977-477B-835F-F32764E6E50A}" uniqueName="4" name="Performer" queryTableFieldId="4" dataDxfId="5"/>
    <tableColumn id="5" xr3:uid="{36BE0B1D-DEB8-4145-842B-4C77C22F0C83}" uniqueName="5" name="Time" queryTableFieldId="5" dataDxfId="4"/>
  </tableColumns>
  <tableStyleInfo name="TableStyleMedium7"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2"/>
  <sheetViews>
    <sheetView workbookViewId="0">
      <selection activeCell="C13" sqref="C13"/>
    </sheetView>
  </sheetViews>
  <sheetFormatPr defaultRowHeight="19.5"/>
  <cols>
    <col min="1" max="1" width="6.21875" bestFit="1" customWidth="1"/>
    <col min="2" max="2" width="28.5546875" bestFit="1" customWidth="1"/>
    <col min="3" max="3" width="80.88671875" bestFit="1" customWidth="1"/>
    <col min="4" max="4" width="17.5546875" bestFit="1" customWidth="1"/>
    <col min="5" max="5" width="7.77734375" bestFit="1" customWidth="1"/>
  </cols>
  <sheetData>
    <row r="1" spans="1:5">
      <c r="A1" t="s">
        <v>7</v>
      </c>
      <c r="B1" t="s">
        <v>4</v>
      </c>
      <c r="C1" t="s">
        <v>3</v>
      </c>
      <c r="D1" t="s">
        <v>6</v>
      </c>
      <c r="E1" t="s">
        <v>5</v>
      </c>
    </row>
    <row r="2" spans="1:5">
      <c r="A2">
        <v>1</v>
      </c>
      <c r="B2" s="6" t="s">
        <v>8</v>
      </c>
      <c r="C2" s="6" t="s">
        <v>31</v>
      </c>
      <c r="D2" s="6" t="s">
        <v>10</v>
      </c>
      <c r="E2" s="5">
        <v>0.15208333333333332</v>
      </c>
    </row>
    <row r="3" spans="1:5">
      <c r="A3">
        <v>2</v>
      </c>
      <c r="B3" s="6" t="s">
        <v>11</v>
      </c>
      <c r="C3" s="6" t="s">
        <v>32</v>
      </c>
      <c r="D3" s="6" t="s">
        <v>10</v>
      </c>
      <c r="E3" s="5">
        <v>0.17291666666666666</v>
      </c>
    </row>
    <row r="4" spans="1:5">
      <c r="A4">
        <v>3</v>
      </c>
      <c r="B4" s="6" t="s">
        <v>13</v>
      </c>
      <c r="C4" s="6" t="s">
        <v>33</v>
      </c>
      <c r="D4" s="6" t="s">
        <v>10</v>
      </c>
      <c r="E4" s="5">
        <v>0.17777777777777778</v>
      </c>
    </row>
    <row r="5" spans="1:5">
      <c r="A5">
        <v>4</v>
      </c>
      <c r="B5" s="6" t="s">
        <v>15</v>
      </c>
      <c r="C5" s="6" t="s">
        <v>34</v>
      </c>
      <c r="D5" s="6" t="s">
        <v>10</v>
      </c>
      <c r="E5" s="5">
        <v>0.20208333333333334</v>
      </c>
    </row>
    <row r="6" spans="1:5">
      <c r="A6">
        <v>5</v>
      </c>
      <c r="B6" s="6" t="s">
        <v>17</v>
      </c>
      <c r="C6" s="6" t="s">
        <v>35</v>
      </c>
      <c r="D6" s="6" t="s">
        <v>10</v>
      </c>
      <c r="E6" s="5">
        <v>0.20902777777777778</v>
      </c>
    </row>
    <row r="7" spans="1:5">
      <c r="A7">
        <v>6</v>
      </c>
      <c r="B7" s="6" t="s">
        <v>19</v>
      </c>
      <c r="C7" s="6" t="s">
        <v>36</v>
      </c>
      <c r="D7" s="6" t="s">
        <v>10</v>
      </c>
      <c r="E7" s="5">
        <v>0.20833333333333334</v>
      </c>
    </row>
    <row r="8" spans="1:5">
      <c r="A8">
        <v>7</v>
      </c>
      <c r="B8" s="6" t="s">
        <v>21</v>
      </c>
      <c r="C8" s="6" t="s">
        <v>37</v>
      </c>
      <c r="D8" s="6" t="s">
        <v>10</v>
      </c>
      <c r="E8" s="5">
        <v>0.18333333333333332</v>
      </c>
    </row>
    <row r="9" spans="1:5">
      <c r="A9">
        <v>8</v>
      </c>
      <c r="B9" s="6" t="s">
        <v>23</v>
      </c>
      <c r="C9" s="6" t="s">
        <v>40</v>
      </c>
      <c r="D9" s="6" t="s">
        <v>10</v>
      </c>
      <c r="E9" s="5">
        <v>0.16597222222222222</v>
      </c>
    </row>
    <row r="10" spans="1:5">
      <c r="A10">
        <v>9</v>
      </c>
      <c r="B10" s="6" t="s">
        <v>25</v>
      </c>
      <c r="C10" s="6" t="s">
        <v>38</v>
      </c>
      <c r="D10" s="6" t="s">
        <v>10</v>
      </c>
      <c r="E10" s="5">
        <v>0.1361111111111111</v>
      </c>
    </row>
    <row r="11" spans="1:5">
      <c r="A11">
        <v>10</v>
      </c>
      <c r="B11" s="6" t="s">
        <v>27</v>
      </c>
      <c r="C11" s="6" t="s">
        <v>39</v>
      </c>
      <c r="D11" s="6" t="s">
        <v>10</v>
      </c>
      <c r="E11" s="5">
        <v>0.1875</v>
      </c>
    </row>
    <row r="12" spans="1:5" ht="97.5">
      <c r="A12">
        <v>11</v>
      </c>
      <c r="B12" s="6" t="s">
        <v>29</v>
      </c>
      <c r="C12" s="7" t="s">
        <v>41</v>
      </c>
      <c r="D12" s="6" t="s">
        <v>10</v>
      </c>
      <c r="E12" s="5">
        <v>0.21875</v>
      </c>
    </row>
  </sheetData>
  <phoneticPr fontId="1"/>
  <pageMargins left="0.7" right="0.7" top="0.75" bottom="0.75" header="0.3" footer="0.3"/>
  <pageSetup paperSize="9" orientation="portrait" horizontalDpi="0" verticalDpi="0"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K30"/>
  <sheetViews>
    <sheetView tabSelected="1" topLeftCell="G1" workbookViewId="0">
      <selection activeCell="B3" sqref="B3:K15"/>
    </sheetView>
  </sheetViews>
  <sheetFormatPr defaultColWidth="11.5546875" defaultRowHeight="19.5"/>
  <cols>
    <col min="1" max="1" width="4.21875" customWidth="1"/>
    <col min="3" max="3" width="3.88671875" style="3" customWidth="1"/>
    <col min="4" max="4" width="21.109375" customWidth="1"/>
    <col min="5" max="5" width="4" style="3" customWidth="1"/>
    <col min="6" max="6" width="119.21875" bestFit="1" customWidth="1"/>
    <col min="7" max="7" width="4.44140625" style="3" customWidth="1"/>
    <col min="8" max="8" width="21.77734375" customWidth="1"/>
    <col min="9" max="9" width="4.33203125" style="3" customWidth="1"/>
    <col min="10" max="10" width="8.44140625" customWidth="1"/>
    <col min="11" max="11" width="3.44140625" style="3" customWidth="1"/>
  </cols>
  <sheetData>
    <row r="2" spans="1:11">
      <c r="D2" s="1">
        <f t="array" ref="D2">MAX(LENB(Sheet1!B1:'Sheet1'!B30))</f>
        <v>30</v>
      </c>
      <c r="F2" s="1">
        <f t="array" ref="F2">MAX(LENB(Sheet1!C1:'Sheet1'!C30))</f>
        <v>487</v>
      </c>
      <c r="H2" s="1">
        <f t="array" ref="H2">MAX(LENB(Sheet1!D1:'Sheet1'!D30))</f>
        <v>16</v>
      </c>
      <c r="J2" s="1">
        <f>7</f>
        <v>7</v>
      </c>
    </row>
    <row r="3" spans="1:11">
      <c r="A3" t="s">
        <v>0</v>
      </c>
      <c r="B3" t="str">
        <f>" "&amp;"No."&amp;" "</f>
        <v xml:space="preserve"> No. </v>
      </c>
      <c r="C3" s="3" t="s">
        <v>0</v>
      </c>
      <c r="D3" t="str">
        <f>" "&amp;LEFTB("Title"&amp;REPT(" ",$D$2),$D$2)</f>
        <v xml:space="preserve"> Title                         </v>
      </c>
      <c r="E3" s="3" t="s">
        <v>0</v>
      </c>
      <c r="F3" t="str">
        <f>" "&amp;LEFTB("Composers"&amp;REPT(" ",$F$2-1),$F$2-1)</f>
        <v xml:space="preserve"> Composers                                                                                                                                                                                                                                                                                                                                                                                                                                                                                             </v>
      </c>
      <c r="G3" s="3" t="s">
        <v>0</v>
      </c>
      <c r="H3" t="str">
        <f>" "&amp;LEFTB("Performer"&amp;REPT(" ",$H$2),$H$2)</f>
        <v xml:space="preserve"> Performer       </v>
      </c>
      <c r="I3" s="3" t="s">
        <v>0</v>
      </c>
      <c r="J3" t="str">
        <f>" "&amp;"Time"</f>
        <v xml:space="preserve"> Time</v>
      </c>
      <c r="K3" s="3" t="s">
        <v>0</v>
      </c>
    </row>
    <row r="4" spans="1:11">
      <c r="A4" t="s">
        <v>0</v>
      </c>
      <c r="B4" t="s">
        <v>1</v>
      </c>
      <c r="C4" s="3" t="s">
        <v>0</v>
      </c>
      <c r="D4" t="str">
        <f>REPT("-",$D$2)&amp;" "</f>
        <v xml:space="preserve">------------------------------ </v>
      </c>
      <c r="E4" s="3" t="s">
        <v>0</v>
      </c>
      <c r="F4" t="str">
        <f>" "&amp;REPT("-",$F$2)&amp;" "</f>
        <v xml:space="preserve"> ------------------------------------------------------------------------------------------------------------------------------------------------------------------------------------------------------------------------------------------------------------------------------------------------------------------------------------------------------------------------------------------------------------------------------------------------------------------------------------------------------- </v>
      </c>
      <c r="G4" s="3" t="s">
        <v>0</v>
      </c>
      <c r="H4" t="str">
        <f>" "&amp;REPT("-",$H$2)&amp;" "</f>
        <v xml:space="preserve"> ---------------- </v>
      </c>
      <c r="I4" s="3" t="s">
        <v>0</v>
      </c>
      <c r="J4" t="s">
        <v>2</v>
      </c>
      <c r="K4" s="3" t="s">
        <v>0</v>
      </c>
    </row>
    <row r="5" spans="1:11">
      <c r="A5" t="s">
        <v>0</v>
      </c>
      <c r="B5">
        <f>Sheet1!A2</f>
        <v>1</v>
      </c>
      <c r="C5" s="3" t="s">
        <v>0</v>
      </c>
      <c r="D5" s="4" t="str">
        <f>LEFTB(Sheet1!B2&amp;REPT(" ",$D$2),$D$2)</f>
        <v xml:space="preserve">Smoke                         </v>
      </c>
      <c r="E5" s="3" t="s">
        <v>0</v>
      </c>
      <c r="F5" t="str">
        <f>" "&amp;LEFTB(Sheet1!C2&amp;REPT(" ",$F$2),$F$2)</f>
        <v xml:space="preserve"> Dr. Dre, Focus…, Dem Jointz, Erik “Bluetooth” Griggs, Jerome Kern, Kion                  Williams, Marsha Ambrosius                                                                                                                                                                                                                                                                                                                                                                                 </v>
      </c>
      <c r="G5" s="3" t="s">
        <v>0</v>
      </c>
      <c r="H5" t="str">
        <f>LEFTB(Sheet1!D2&amp;REPT(" ",$H$2),$H$2)</f>
        <v>Marsha Ambrosius</v>
      </c>
      <c r="I5" s="3" t="s">
        <v>0</v>
      </c>
      <c r="J5" s="2" t="str">
        <f>TEXT(Sheet1!E2,"HH:MM")&amp;" "</f>
        <v xml:space="preserve">03:39 </v>
      </c>
      <c r="K5" s="3" t="s">
        <v>0</v>
      </c>
    </row>
    <row r="6" spans="1:11">
      <c r="A6" t="s">
        <v>0</v>
      </c>
      <c r="B6">
        <f>Sheet1!A3</f>
        <v>2</v>
      </c>
      <c r="C6" s="3" t="s">
        <v>0</v>
      </c>
      <c r="D6" s="4" t="str">
        <f>LEFTB(Sheet1!B3&amp;REPT(" ",$D$2),$D$2)</f>
        <v xml:space="preserve">Tunisian Nights               </v>
      </c>
      <c r="E6" s="3" t="s">
        <v>0</v>
      </c>
      <c r="F6" t="str">
        <f>" "&amp;LEFTB(Sheet1!C3&amp;REPT(" ",$F$2),$F$2)</f>
        <v xml:space="preserve"> Marsha Ambrosius, Dr. Dre, Dem Jointz, Erik “Bluetooth” Griggs, Mary J.                  Blige, Rick James, Nas, DJ Premier, Eric B., Rakim, Dizzy Gillespie, Frank                  Paparelli and Jon Hendricks                                                                                                                                                                                                                                                                                     </v>
      </c>
      <c r="G6" s="3" t="s">
        <v>0</v>
      </c>
      <c r="H6" t="str">
        <f>LEFTB(Sheet1!D3&amp;REPT(" ",$H$2),$H$2)</f>
        <v>Marsha Ambrosius</v>
      </c>
      <c r="I6" s="3" t="s">
        <v>0</v>
      </c>
      <c r="J6" s="2" t="str">
        <f>TEXT(Sheet1!E3,"HH:MM")&amp;" "</f>
        <v xml:space="preserve">04:09 </v>
      </c>
      <c r="K6" s="3" t="s">
        <v>0</v>
      </c>
    </row>
    <row r="7" spans="1:11">
      <c r="A7" t="s">
        <v>0</v>
      </c>
      <c r="B7">
        <f>Sheet1!A4</f>
        <v>3</v>
      </c>
      <c r="C7" s="3" t="s">
        <v>0</v>
      </c>
      <c r="D7" s="4" t="str">
        <f>LEFTB(Sheet1!B4&amp;REPT(" ",$D$2),$D$2)</f>
        <v xml:space="preserve">One Night Stand               </v>
      </c>
      <c r="E7" s="3" t="s">
        <v>0</v>
      </c>
      <c r="F7" t="str">
        <f>" "&amp;LEFTB(Sheet1!C4&amp;REPT(" ",$F$2),$F$2)</f>
        <v xml:space="preserve"> Marsha Ambrosius, Dr. Dre, Erik “Bluetooth” Griggs, Slim The Mobster, Patrice                  Rushen, Rick James, Karen Evans, Keni Burke, Norma Jean Wright, Allan Felder                                                                                                                                                                                                                                                                                                                          </v>
      </c>
      <c r="G7" s="3" t="s">
        <v>0</v>
      </c>
      <c r="H7" t="str">
        <f>LEFTB(Sheet1!D4&amp;REPT(" ",$H$2),$H$2)</f>
        <v>Marsha Ambrosius</v>
      </c>
      <c r="I7" s="3" t="s">
        <v>0</v>
      </c>
      <c r="J7" s="2" t="str">
        <f>TEXT(Sheet1!E4,"HH:MM")&amp;" "</f>
        <v xml:space="preserve">04:16 </v>
      </c>
      <c r="K7" s="3" t="s">
        <v>0</v>
      </c>
    </row>
    <row r="8" spans="1:11">
      <c r="A8" t="s">
        <v>0</v>
      </c>
      <c r="B8">
        <f>Sheet1!A5</f>
        <v>4</v>
      </c>
      <c r="C8" s="3" t="s">
        <v>0</v>
      </c>
      <c r="D8" s="4" t="str">
        <f>LEFTB(Sheet1!B5&amp;REPT(" ",$D$2),$D$2)</f>
        <v>Cloudy With a Chance of...Real</v>
      </c>
      <c r="E8" s="3" t="s">
        <v>0</v>
      </c>
      <c r="F8" t="str">
        <f>" "&amp;LEFTB(Sheet1!C5&amp;REPT(" ",$F$2),$F$2)</f>
        <v xml:space="preserve"> Marsha Ambrosius, Dr. Dre, Dem Jointz, Focus…, Erik “Bluetooth” Griggs,                  Sly Pyper, Jimmy Heath, Bacharach &amp; David, Burt Bacharach, Hal David,                  Thom Bell, Roy C, Milk Dee, CaseyJames                                                                                                                                                                                                                                                                              </v>
      </c>
      <c r="G8" s="3" t="s">
        <v>0</v>
      </c>
      <c r="H8" t="str">
        <f>LEFTB(Sheet1!D5&amp;REPT(" ",$H$2),$H$2)</f>
        <v>Marsha Ambrosius</v>
      </c>
      <c r="I8" s="3" t="s">
        <v>0</v>
      </c>
      <c r="J8" s="2" t="str">
        <f>TEXT(Sheet1!E5,"HH:MM")&amp;" "</f>
        <v xml:space="preserve">04:51 </v>
      </c>
      <c r="K8" s="3" t="s">
        <v>0</v>
      </c>
    </row>
    <row r="9" spans="1:11">
      <c r="A9" t="s">
        <v>0</v>
      </c>
      <c r="B9">
        <f>Sheet1!A6</f>
        <v>5</v>
      </c>
      <c r="C9" s="3" t="s">
        <v>0</v>
      </c>
      <c r="D9" s="4" t="str">
        <f>LEFTB(Sheet1!B6&amp;REPT(" ",$D$2),$D$2)</f>
        <v xml:space="preserve">Greedy                        </v>
      </c>
      <c r="E9" s="3" t="s">
        <v>0</v>
      </c>
      <c r="F9" t="str">
        <f>" "&amp;LEFTB(Sheet1!C6&amp;REPT(" ",$F$2),$F$2)</f>
        <v xml:space="preserve"> Marsha Ambrosius, Dr. Dre, Trevor Lawrence Jr., Erik “Bluetooth” Griggs,                  Focus…, Sly Pyper, Christopher Anderson-Bazzoli, André 3000, Big Boi, Sleepy                  Brown, Leon Russell                                                                                                                                                                                                                                                                                        </v>
      </c>
      <c r="G9" s="3" t="s">
        <v>0</v>
      </c>
      <c r="H9" t="str">
        <f>LEFTB(Sheet1!D6&amp;REPT(" ",$H$2),$H$2)</f>
        <v>Marsha Ambrosius</v>
      </c>
      <c r="I9" s="3" t="s">
        <v>0</v>
      </c>
      <c r="J9" s="2" t="str">
        <f>TEXT(Sheet1!E6,"HH:MM")&amp;" "</f>
        <v xml:space="preserve">05:01 </v>
      </c>
      <c r="K9" s="3" t="s">
        <v>0</v>
      </c>
    </row>
    <row r="10" spans="1:11">
      <c r="A10" t="s">
        <v>0</v>
      </c>
      <c r="B10">
        <f>Sheet1!A7</f>
        <v>6</v>
      </c>
      <c r="C10" s="3" t="s">
        <v>0</v>
      </c>
      <c r="D10" s="4" t="str">
        <f>LEFTB(Sheet1!B7&amp;REPT(" ",$D$2),$D$2)</f>
        <v xml:space="preserve">Self Care/Wrong Right         </v>
      </c>
      <c r="E10" s="3" t="s">
        <v>0</v>
      </c>
      <c r="F10" t="str">
        <f>" "&amp;LEFTB(Sheet1!C7&amp;REPT(" ",$F$2),$F$2)</f>
        <v xml:space="preserve"> Marsha Ambrosius, Dr. Dre, DJ Khalil, Phonix Beats, Sly Pyper, Stevie Wonder,                  Jay Card, Lorenzo Johnson, Daniel Seeff                                                                                                                                                                                                                                                                                                                                                                 </v>
      </c>
      <c r="G10" s="3" t="s">
        <v>0</v>
      </c>
      <c r="H10" t="str">
        <f>LEFTB(Sheet1!D7&amp;REPT(" ",$H$2),$H$2)</f>
        <v>Marsha Ambrosius</v>
      </c>
      <c r="I10" s="3" t="s">
        <v>0</v>
      </c>
      <c r="J10" s="2" t="str">
        <f>TEXT(Sheet1!E7,"HH:MM")&amp;" "</f>
        <v xml:space="preserve">05:00 </v>
      </c>
      <c r="K10" s="3" t="s">
        <v>0</v>
      </c>
    </row>
    <row r="11" spans="1:11">
      <c r="A11" t="s">
        <v>0</v>
      </c>
      <c r="B11">
        <f>Sheet1!A8</f>
        <v>7</v>
      </c>
      <c r="C11" s="3" t="s">
        <v>0</v>
      </c>
      <c r="D11" s="4" t="str">
        <f>LEFTB(Sheet1!B8&amp;REPT(" ",$D$2),$D$2)</f>
        <v xml:space="preserve">Wet                           </v>
      </c>
      <c r="E11" s="3" t="s">
        <v>0</v>
      </c>
      <c r="F11" t="str">
        <f>" "&amp;LEFTB(Sheet1!C8&amp;REPT(" ",$F$2),$F$2)</f>
        <v xml:space="preserve"> Marsha Ambrosius, Dr. Dre, Focus…, Erik “Bluetooth” Griggs, Minnie Riperton,                  Richard Rudolph, Leon Ware, James Moody, Dorothy Fields, Jimmy McHugh,                  Harold Arlen, Ted Koehler, Method Man, RZA, GZA, Ol’ Dirty Bastard, Inspectah                  Deck, Raekwon, U-God, Ghostface Killah                                                                                                                                                                        </v>
      </c>
      <c r="G11" s="3" t="s">
        <v>0</v>
      </c>
      <c r="H11" t="str">
        <f>LEFTB(Sheet1!D8&amp;REPT(" ",$H$2),$H$2)</f>
        <v>Marsha Ambrosius</v>
      </c>
      <c r="I11" s="3" t="s">
        <v>0</v>
      </c>
      <c r="J11" s="2" t="str">
        <f>TEXT(Sheet1!E8,"HH:MM")&amp;" "</f>
        <v xml:space="preserve">04:24 </v>
      </c>
      <c r="K11" s="3" t="s">
        <v>0</v>
      </c>
    </row>
    <row r="12" spans="1:11">
      <c r="A12" t="s">
        <v>0</v>
      </c>
      <c r="B12">
        <f>Sheet1!A9</f>
        <v>8</v>
      </c>
      <c r="C12" s="3" t="s">
        <v>0</v>
      </c>
      <c r="D12" s="4" t="str">
        <f>LEFTB(Sheet1!B9&amp;REPT(" ",$D$2),$D$2)</f>
        <v xml:space="preserve">Thrill Her                    </v>
      </c>
      <c r="E12" s="3" t="s">
        <v>0</v>
      </c>
      <c r="F12" t="str">
        <f>" "&amp;LEFTB(Sheet1!C9&amp;REPT(" ",$F$2),$F$2)</f>
        <v xml:space="preserve"> Marsha Ambrosius, Dr. Dre, Erik “Bluetooth” Griggs, Michael Jackson, Method                  Man, Raekwon, Ghostface Killah, Inspectah Deck, RZA, Ol’ Dirty Bastard,                  GZA, Isaac Hayes, David Porter, Duke Ellington, Irving Mills, Mann Curtis                                                                                                                                                                                                                                     </v>
      </c>
      <c r="G12" s="3" t="s">
        <v>0</v>
      </c>
      <c r="H12" t="str">
        <f>LEFTB(Sheet1!D9&amp;REPT(" ",$H$2),$H$2)</f>
        <v>Marsha Ambrosius</v>
      </c>
      <c r="I12" s="3" t="s">
        <v>0</v>
      </c>
      <c r="J12" s="2" t="str">
        <f>TEXT(Sheet1!E9,"HH:MM")&amp;" "</f>
        <v xml:space="preserve">03:59 </v>
      </c>
      <c r="K12" s="3" t="s">
        <v>0</v>
      </c>
    </row>
    <row r="13" spans="1:11">
      <c r="A13" t="s">
        <v>0</v>
      </c>
      <c r="B13">
        <f>Sheet1!A10</f>
        <v>9</v>
      </c>
      <c r="C13" s="3" t="s">
        <v>0</v>
      </c>
      <c r="D13" s="4" t="str">
        <f>LEFTB(Sheet1!B10&amp;REPT(" ",$D$2),$D$2)</f>
        <v xml:space="preserve">The Greatest                  </v>
      </c>
      <c r="E13" s="3" t="s">
        <v>0</v>
      </c>
      <c r="F13" t="str">
        <f>" "&amp;LEFTB(Sheet1!C10&amp;REPT(" ",$F$2),$F$2)</f>
        <v xml:space="preserve"> Marsha Ambrosius, Dr. Dre, Dem Jointz, Focus…, Trevor Lawrence Jr., Erik                  “Bluetooth” Griggs                                                                                                                                                                                                                                                                                                                                                                                        </v>
      </c>
      <c r="G13" s="3" t="s">
        <v>0</v>
      </c>
      <c r="H13" t="str">
        <f>LEFTB(Sheet1!D10&amp;REPT(" ",$H$2),$H$2)</f>
        <v>Marsha Ambrosius</v>
      </c>
      <c r="I13" s="3" t="s">
        <v>0</v>
      </c>
      <c r="J13" s="2" t="str">
        <f>TEXT(Sheet1!E10,"HH:MM")&amp;" "</f>
        <v xml:space="preserve">03:16 </v>
      </c>
      <c r="K13" s="3" t="s">
        <v>0</v>
      </c>
    </row>
    <row r="14" spans="1:11">
      <c r="A14" t="s">
        <v>0</v>
      </c>
      <c r="B14">
        <f>Sheet1!A11</f>
        <v>10</v>
      </c>
      <c r="C14" s="3" t="s">
        <v>0</v>
      </c>
      <c r="D14" s="4" t="str">
        <f>LEFTB(Sheet1!B11&amp;REPT(" ",$D$2),$D$2)</f>
        <v xml:space="preserve">Best I Could Find             </v>
      </c>
      <c r="E14" s="3" t="s">
        <v>0</v>
      </c>
      <c r="F14" t="str">
        <f>" "&amp;LEFTB(Sheet1!C11&amp;REPT(" ",$F$2),$F$2)</f>
        <v xml:space="preserve"> Marsha Ambrosius, Dr. Dre, Sly Pyper, Stevie Wonder                                                                                                                                                                                                                                                                                                                                                                                                                                                    </v>
      </c>
      <c r="G14" s="3" t="s">
        <v>0</v>
      </c>
      <c r="H14" t="str">
        <f>LEFTB(Sheet1!D11&amp;REPT(" ",$H$2),$H$2)</f>
        <v>Marsha Ambrosius</v>
      </c>
      <c r="I14" s="3" t="s">
        <v>0</v>
      </c>
      <c r="J14" s="2" t="str">
        <f>TEXT(Sheet1!E11,"HH:MM")&amp;" "</f>
        <v xml:space="preserve">04:30 </v>
      </c>
      <c r="K14" s="3" t="s">
        <v>0</v>
      </c>
    </row>
    <row r="15" spans="1:11">
      <c r="A15" t="s">
        <v>0</v>
      </c>
      <c r="B15">
        <f>Sheet1!A12</f>
        <v>11</v>
      </c>
      <c r="C15" s="3" t="s">
        <v>0</v>
      </c>
      <c r="D15" s="4" t="str">
        <f>LEFTB(Sheet1!B12&amp;REPT(" ",$D$2),$D$2)</f>
        <v xml:space="preserve">Music of My Mind              </v>
      </c>
      <c r="E15" s="3" t="s">
        <v>0</v>
      </c>
      <c r="F15" t="str">
        <f>" "&amp;LEFTB(Sheet1!C12&amp;REPT(" ",$F$2),$F$2)</f>
        <v xml:space="preserve"> Marsha Ambrosius, Dr. Dre, Dem Jointz, Erik “Bluetooth” Griggs, Focus…,                  Al B. Sure!, Kyle West, My Guy Mars, Rance, Just Blaze, Kanye West, Antônio                  Carlos Jobim, Andre Harris, Holland-Dozier-Holland, Brian Holland, Lamont                  Dozier, Eddie Holland, Maurice White, Norman Gimbel, Natalie Stewart, Patrice                  Rushen, Freddie Washington, Terri McFaddin, Sterling Simms, Vinícius de                  Moraes, Gilbert O’Sulliv</v>
      </c>
      <c r="G15" s="3" t="s">
        <v>0</v>
      </c>
      <c r="H15" t="str">
        <f>LEFTB(Sheet1!D12&amp;REPT(" ",$H$2),$H$2)</f>
        <v>Marsha Ambrosius</v>
      </c>
      <c r="I15" s="3" t="s">
        <v>0</v>
      </c>
      <c r="J15" s="2" t="str">
        <f>TEXT(Sheet1!E12,"HH:MM")&amp;" "</f>
        <v xml:space="preserve">05:15 </v>
      </c>
      <c r="K15" s="3" t="s">
        <v>0</v>
      </c>
    </row>
    <row r="16" spans="1:11">
      <c r="A16" t="s">
        <v>0</v>
      </c>
      <c r="B16">
        <f>Sheet1!A13</f>
        <v>0</v>
      </c>
      <c r="C16" s="3" t="s">
        <v>0</v>
      </c>
      <c r="D16" s="4" t="str">
        <f>LEFTB(Sheet1!B13&amp;REPT(" ",$D$2),$D$2)</f>
        <v xml:space="preserve">                              </v>
      </c>
      <c r="E16" s="3" t="s">
        <v>0</v>
      </c>
      <c r="F16" t="str">
        <f>" "&amp;LEFTB(Sheet1!C13&amp;REPT(" ",$F$2),$F$2)</f>
        <v xml:space="preserve">                                                                                                                                                                                                                                                                                                                                                                                                                                                                                                        </v>
      </c>
      <c r="G16" s="3" t="s">
        <v>0</v>
      </c>
      <c r="H16" t="str">
        <f>LEFTB(Sheet1!D13&amp;REPT(" ",$H$2),$H$2)</f>
        <v xml:space="preserve">                </v>
      </c>
      <c r="I16" s="3" t="s">
        <v>0</v>
      </c>
      <c r="J16" s="2" t="str">
        <f>TEXT(Sheet1!E13,"HH:MM")&amp;" "</f>
        <v xml:space="preserve">00:00 </v>
      </c>
      <c r="K16" s="3" t="s">
        <v>0</v>
      </c>
    </row>
    <row r="17" spans="1:11">
      <c r="A17" t="s">
        <v>0</v>
      </c>
      <c r="B17">
        <f>Sheet1!A14</f>
        <v>0</v>
      </c>
      <c r="C17" s="3" t="s">
        <v>0</v>
      </c>
      <c r="D17" s="4" t="str">
        <f>LEFTB(Sheet1!B14&amp;REPT(" ",$D$2),$D$2)</f>
        <v xml:space="preserve">                              </v>
      </c>
      <c r="E17" s="3" t="s">
        <v>0</v>
      </c>
      <c r="F17" t="str">
        <f>" "&amp;LEFTB(Sheet1!C14&amp;REPT(" ",$F$2),$F$2)</f>
        <v xml:space="preserve">                                                                                                                                                                                                                                                                                                                                                                                                                                                                                                        </v>
      </c>
      <c r="G17" s="3" t="s">
        <v>0</v>
      </c>
      <c r="H17" t="str">
        <f>LEFTB(Sheet1!D14&amp;REPT(" ",$H$2),$H$2)</f>
        <v xml:space="preserve">                </v>
      </c>
      <c r="I17" s="3" t="s">
        <v>0</v>
      </c>
      <c r="J17" s="2" t="str">
        <f>TEXT(Sheet1!E14,"HH:MM")&amp;" "</f>
        <v xml:space="preserve">00:00 </v>
      </c>
      <c r="K17" s="3" t="s">
        <v>0</v>
      </c>
    </row>
    <row r="18" spans="1:11">
      <c r="A18" t="s">
        <v>0</v>
      </c>
      <c r="B18">
        <f>Sheet1!A15</f>
        <v>0</v>
      </c>
      <c r="C18" s="3" t="s">
        <v>0</v>
      </c>
      <c r="D18" t="str">
        <f>LEFTB(Sheet1!B15&amp;REPT(" ",$D$2),$D$2)</f>
        <v xml:space="preserve">                              </v>
      </c>
      <c r="E18" s="3" t="s">
        <v>0</v>
      </c>
      <c r="F18" t="str">
        <f>" "&amp;LEFTB(Sheet1!C15&amp;REPT(" ",$F$2),$F$2)</f>
        <v xml:space="preserve">                                                                                                                                                                                                                                                                                                                                                                                                                                                                                                        </v>
      </c>
      <c r="G18" s="3" t="s">
        <v>0</v>
      </c>
      <c r="H18" t="str">
        <f>LEFTB(Sheet1!D15&amp;REPT(" ",$H$2),$H$2)</f>
        <v xml:space="preserve">                </v>
      </c>
      <c r="I18" s="3" t="s">
        <v>0</v>
      </c>
      <c r="J18" s="2" t="str">
        <f>TEXT(Sheet1!E15,"HH:MM")&amp;" "</f>
        <v xml:space="preserve">00:00 </v>
      </c>
      <c r="K18" s="3" t="s">
        <v>0</v>
      </c>
    </row>
    <row r="19" spans="1:11">
      <c r="A19" t="s">
        <v>0</v>
      </c>
      <c r="B19">
        <f>Sheet1!A16</f>
        <v>0</v>
      </c>
      <c r="C19" s="3" t="s">
        <v>0</v>
      </c>
      <c r="D19" t="str">
        <f>LEFTB(Sheet1!B16&amp;REPT(" ",$D$2),$D$2)</f>
        <v xml:space="preserve">                              </v>
      </c>
      <c r="E19" s="3" t="s">
        <v>0</v>
      </c>
      <c r="F19" t="str">
        <f>" "&amp;LEFTB(Sheet1!C16&amp;REPT(" ",$F$2),$F$2)</f>
        <v xml:space="preserve">                                                                                                                                                                                                                                                                                                                                                                                                                                                                                                        </v>
      </c>
      <c r="G19" s="3" t="s">
        <v>0</v>
      </c>
      <c r="H19" t="str">
        <f>LEFTB(Sheet1!D16&amp;REPT(" ",$H$2),$H$2)</f>
        <v xml:space="preserve">                </v>
      </c>
      <c r="I19" s="3" t="s">
        <v>0</v>
      </c>
      <c r="J19" s="2" t="str">
        <f>TEXT(Sheet1!E16,"HH:MM")&amp;" "</f>
        <v xml:space="preserve">00:00 </v>
      </c>
      <c r="K19" s="3" t="s">
        <v>0</v>
      </c>
    </row>
    <row r="20" spans="1:11">
      <c r="A20" t="s">
        <v>0</v>
      </c>
      <c r="B20">
        <f>Sheet1!A17</f>
        <v>0</v>
      </c>
      <c r="C20" s="3" t="s">
        <v>0</v>
      </c>
      <c r="D20" t="str">
        <f>LEFTB(Sheet1!B17&amp;REPT(" ",$D$2),$D$2)</f>
        <v xml:space="preserve">                              </v>
      </c>
      <c r="E20" s="3" t="s">
        <v>0</v>
      </c>
      <c r="F20" t="str">
        <f>" "&amp;LEFTB(Sheet1!C17&amp;REPT(" ",$F$2),$F$2)</f>
        <v xml:space="preserve">                                                                                                                                                                                                                                                                                                                                                                                                                                                                                                        </v>
      </c>
      <c r="G20" s="3" t="s">
        <v>0</v>
      </c>
      <c r="H20" t="str">
        <f>LEFTB(Sheet1!D17&amp;REPT(" ",$H$2),$H$2)</f>
        <v xml:space="preserve">                </v>
      </c>
      <c r="I20" s="3" t="s">
        <v>0</v>
      </c>
      <c r="J20" s="2" t="str">
        <f>TEXT(Sheet1!E17,"HH:MM")&amp;" "</f>
        <v xml:space="preserve">00:00 </v>
      </c>
      <c r="K20" s="3" t="s">
        <v>0</v>
      </c>
    </row>
    <row r="21" spans="1:11">
      <c r="A21" t="s">
        <v>0</v>
      </c>
      <c r="B21">
        <f>Sheet1!A18</f>
        <v>0</v>
      </c>
      <c r="C21" s="3" t="s">
        <v>0</v>
      </c>
      <c r="D21" t="str">
        <f>LEFTB(Sheet1!B18&amp;REPT(" ",$D$2),$D$2)</f>
        <v xml:space="preserve">                              </v>
      </c>
      <c r="E21" s="3" t="s">
        <v>0</v>
      </c>
      <c r="F21" t="str">
        <f>" "&amp;LEFTB(Sheet1!C18&amp;REPT(" ",$F$2),$F$2)</f>
        <v xml:space="preserve">                                                                                                                                                                                                                                                                                                                                                                                                                                                                                                        </v>
      </c>
      <c r="G21" s="3" t="s">
        <v>0</v>
      </c>
      <c r="H21" t="str">
        <f>LEFTB(Sheet1!D18&amp;REPT(" ",$H$2),$H$2)</f>
        <v xml:space="preserve">                </v>
      </c>
      <c r="I21" s="3" t="s">
        <v>0</v>
      </c>
      <c r="J21" s="2" t="str">
        <f>TEXT(Sheet1!E18,"HH:MM")&amp;" "</f>
        <v xml:space="preserve">00:00 </v>
      </c>
      <c r="K21" s="3" t="s">
        <v>0</v>
      </c>
    </row>
    <row r="22" spans="1:11">
      <c r="A22" t="s">
        <v>0</v>
      </c>
      <c r="B22">
        <f>Sheet1!A19</f>
        <v>0</v>
      </c>
      <c r="C22" s="3" t="s">
        <v>0</v>
      </c>
      <c r="D22" t="str">
        <f>LEFTB(Sheet1!B19&amp;REPT(" ",$D$2),$D$2)</f>
        <v xml:space="preserve">                              </v>
      </c>
      <c r="E22" s="3" t="s">
        <v>0</v>
      </c>
      <c r="F22" t="str">
        <f>" "&amp;LEFTB(Sheet1!C19&amp;REPT(" ",$F$2),$F$2)</f>
        <v xml:space="preserve">                                                                                                                                                                                                                                                                                                                                                                                                                                                                                                        </v>
      </c>
      <c r="G22" s="3" t="s">
        <v>0</v>
      </c>
      <c r="H22" t="str">
        <f>LEFTB(Sheet1!D19&amp;REPT(" ",$H$2),$H$2)</f>
        <v xml:space="preserve">                </v>
      </c>
      <c r="I22" s="3" t="s">
        <v>0</v>
      </c>
      <c r="J22" s="2" t="str">
        <f>TEXT(Sheet1!E19,"HH:MM")&amp;" "</f>
        <v xml:space="preserve">00:00 </v>
      </c>
      <c r="K22" s="3" t="s">
        <v>0</v>
      </c>
    </row>
    <row r="23" spans="1:11">
      <c r="A23" t="s">
        <v>0</v>
      </c>
      <c r="B23">
        <f>Sheet1!A20</f>
        <v>0</v>
      </c>
      <c r="C23" s="3" t="s">
        <v>0</v>
      </c>
      <c r="D23" t="str">
        <f>LEFTB(Sheet1!B20&amp;REPT(" ",$D$2),$D$2)</f>
        <v xml:space="preserve">                              </v>
      </c>
      <c r="E23" s="3" t="s">
        <v>0</v>
      </c>
      <c r="F23" t="str">
        <f>" "&amp;LEFTB(Sheet1!C20&amp;REPT(" ",$F$2),$F$2)</f>
        <v xml:space="preserve">                                                                                                                                                                                                                                                                                                                                                                                                                                                                                                        </v>
      </c>
      <c r="G23" s="3" t="s">
        <v>0</v>
      </c>
      <c r="H23" t="str">
        <f>LEFTB(Sheet1!D20&amp;REPT(" ",$H$2),$H$2)</f>
        <v xml:space="preserve">                </v>
      </c>
      <c r="I23" s="3" t="s">
        <v>0</v>
      </c>
      <c r="J23" s="2" t="str">
        <f>TEXT(Sheet1!E20,"HH:MM")&amp;" "</f>
        <v xml:space="preserve">00:00 </v>
      </c>
      <c r="K23" s="3" t="s">
        <v>0</v>
      </c>
    </row>
    <row r="24" spans="1:11">
      <c r="A24" t="s">
        <v>0</v>
      </c>
      <c r="B24">
        <f>Sheet1!A21</f>
        <v>0</v>
      </c>
      <c r="C24" s="3" t="s">
        <v>0</v>
      </c>
      <c r="D24" t="str">
        <f>LEFTB(Sheet1!B21&amp;REPT(" ",$D$2),$D$2)</f>
        <v xml:space="preserve">                              </v>
      </c>
      <c r="E24" s="3" t="s">
        <v>0</v>
      </c>
      <c r="F24" t="str">
        <f>" "&amp;LEFTB(Sheet1!C21&amp;REPT(" ",$F$2),$F$2)</f>
        <v xml:space="preserve">                                                                                                                                                                                                                                                                                                                                                                                                                                                                                                        </v>
      </c>
      <c r="G24" s="3" t="s">
        <v>0</v>
      </c>
      <c r="H24" t="str">
        <f>LEFTB(Sheet1!D21&amp;REPT(" ",$H$2),$H$2)</f>
        <v xml:space="preserve">                </v>
      </c>
      <c r="I24" s="3" t="s">
        <v>0</v>
      </c>
      <c r="J24" s="2" t="str">
        <f>TEXT(Sheet1!E21,"HH:MM")&amp;" "</f>
        <v xml:space="preserve">00:00 </v>
      </c>
      <c r="K24" s="3" t="s">
        <v>0</v>
      </c>
    </row>
    <row r="25" spans="1:11">
      <c r="A25" t="s">
        <v>0</v>
      </c>
      <c r="B25">
        <f>Sheet1!A22</f>
        <v>0</v>
      </c>
      <c r="C25" s="3" t="s">
        <v>0</v>
      </c>
      <c r="D25" t="str">
        <f>LEFTB(Sheet1!B22&amp;REPT(" ",$D$2),$D$2)</f>
        <v xml:space="preserve">                              </v>
      </c>
      <c r="E25" s="3" t="s">
        <v>0</v>
      </c>
      <c r="F25" t="str">
        <f>" "&amp;LEFTB(Sheet1!C22&amp;REPT(" ",$F$2),$F$2)</f>
        <v xml:space="preserve">                                                                                                                                                                                                                                                                                                                                                                                                                                                                                                        </v>
      </c>
      <c r="G25" s="3" t="s">
        <v>0</v>
      </c>
      <c r="H25" t="str">
        <f>LEFTB(Sheet1!D22&amp;REPT(" ",$H$2),$H$2)</f>
        <v xml:space="preserve">                </v>
      </c>
      <c r="I25" s="3" t="s">
        <v>0</v>
      </c>
      <c r="J25" s="2" t="str">
        <f>TEXT(Sheet1!E22,"HH:MM")&amp;" "</f>
        <v xml:space="preserve">00:00 </v>
      </c>
      <c r="K25" s="3" t="s">
        <v>0</v>
      </c>
    </row>
    <row r="26" spans="1:11">
      <c r="A26" t="s">
        <v>0</v>
      </c>
      <c r="B26">
        <f>Sheet1!A23</f>
        <v>0</v>
      </c>
      <c r="C26" s="3" t="s">
        <v>0</v>
      </c>
      <c r="D26" t="str">
        <f>LEFTB(Sheet1!B23&amp;REPT(" ",$D$2),$D$2)</f>
        <v xml:space="preserve">                              </v>
      </c>
      <c r="E26" s="3" t="s">
        <v>0</v>
      </c>
      <c r="F26" t="str">
        <f>" "&amp;LEFTB(Sheet1!C23&amp;REPT(" ",$F$2),$F$2)</f>
        <v xml:space="preserve">                                                                                                                                                                                                                                                                                                                                                                                                                                                                                                        </v>
      </c>
      <c r="G26" s="3" t="s">
        <v>0</v>
      </c>
      <c r="H26" t="str">
        <f>LEFTB(Sheet1!D23&amp;REPT(" ",$H$2),$H$2)</f>
        <v xml:space="preserve">                </v>
      </c>
      <c r="I26" s="3" t="s">
        <v>0</v>
      </c>
      <c r="J26" s="2" t="str">
        <f>TEXT(Sheet1!E23,"HH:MM")&amp;" "</f>
        <v xml:space="preserve">00:00 </v>
      </c>
      <c r="K26" s="3" t="s">
        <v>0</v>
      </c>
    </row>
    <row r="27" spans="1:11">
      <c r="A27" t="s">
        <v>0</v>
      </c>
      <c r="B27">
        <f>Sheet1!A24</f>
        <v>0</v>
      </c>
      <c r="C27" s="3" t="s">
        <v>0</v>
      </c>
      <c r="D27" t="str">
        <f>LEFTB(Sheet1!B24&amp;REPT(" ",$D$2),$D$2)</f>
        <v xml:space="preserve">                              </v>
      </c>
      <c r="E27" s="3" t="s">
        <v>0</v>
      </c>
      <c r="F27" t="str">
        <f>" "&amp;LEFTB(Sheet1!C24&amp;REPT(" ",$F$2),$F$2)</f>
        <v xml:space="preserve">                                                                                                                                                                                                                                                                                                                                                                                                                                                                                                        </v>
      </c>
      <c r="G27" s="3" t="s">
        <v>0</v>
      </c>
      <c r="H27" t="str">
        <f>LEFTB(Sheet1!D24&amp;REPT(" ",$H$2),$H$2)</f>
        <v xml:space="preserve">                </v>
      </c>
      <c r="I27" s="3" t="s">
        <v>0</v>
      </c>
      <c r="J27" s="2" t="str">
        <f>TEXT(Sheet1!E24,"HH:MM")&amp;" "</f>
        <v xml:space="preserve">00:00 </v>
      </c>
      <c r="K27" s="3" t="s">
        <v>0</v>
      </c>
    </row>
    <row r="28" spans="1:11">
      <c r="A28" t="s">
        <v>0</v>
      </c>
      <c r="B28">
        <f>Sheet1!A25</f>
        <v>0</v>
      </c>
      <c r="C28" s="3" t="s">
        <v>0</v>
      </c>
      <c r="D28" t="str">
        <f>LEFTB(Sheet1!B25&amp;REPT(" ",$D$2),$D$2)</f>
        <v xml:space="preserve">                              </v>
      </c>
      <c r="E28" s="3" t="s">
        <v>0</v>
      </c>
      <c r="F28" t="str">
        <f>" "&amp;LEFTB(Sheet1!C25&amp;REPT(" ",$F$2),$F$2)</f>
        <v xml:space="preserve">                                                                                                                                                                                                                                                                                                                                                                                                                                                                                                        </v>
      </c>
      <c r="G28" s="3" t="s">
        <v>0</v>
      </c>
      <c r="H28" t="str">
        <f>LEFTB(Sheet1!D25&amp;REPT(" ",$H$2),$H$2)</f>
        <v xml:space="preserve">                </v>
      </c>
      <c r="I28" s="3" t="s">
        <v>0</v>
      </c>
      <c r="J28" s="2" t="str">
        <f>TEXT(Sheet1!E25,"HH:MM")&amp;" "</f>
        <v xml:space="preserve">00:00 </v>
      </c>
      <c r="K28" s="3" t="s">
        <v>0</v>
      </c>
    </row>
    <row r="29" spans="1:11">
      <c r="A29" t="s">
        <v>0</v>
      </c>
      <c r="B29">
        <f>Sheet1!A26</f>
        <v>0</v>
      </c>
      <c r="C29" s="3" t="s">
        <v>0</v>
      </c>
      <c r="D29" t="str">
        <f>LEFTB(Sheet1!B26&amp;REPT(" ",$D$2),$D$2)</f>
        <v xml:space="preserve">                              </v>
      </c>
      <c r="E29" s="3" t="s">
        <v>0</v>
      </c>
      <c r="F29" t="str">
        <f>" "&amp;LEFTB(Sheet1!C26&amp;REPT(" ",$F$2),$F$2)</f>
        <v xml:space="preserve">                                                                                                                                                                                                                                                                                                                                                                                                                                                                                                        </v>
      </c>
      <c r="G29" s="3" t="s">
        <v>0</v>
      </c>
      <c r="H29" t="str">
        <f>LEFTB(Sheet1!D26&amp;REPT(" ",$H$2),$H$2)</f>
        <v xml:space="preserve">                </v>
      </c>
      <c r="I29" s="3" t="s">
        <v>0</v>
      </c>
      <c r="J29" s="2" t="str">
        <f>TEXT(Sheet1!E26,"HH:MM")&amp;" "</f>
        <v xml:space="preserve">00:00 </v>
      </c>
      <c r="K29" s="3" t="s">
        <v>0</v>
      </c>
    </row>
    <row r="30" spans="1:11">
      <c r="A30" t="s">
        <v>0</v>
      </c>
      <c r="B30">
        <f>Sheet1!A27</f>
        <v>0</v>
      </c>
      <c r="C30" s="3" t="s">
        <v>0</v>
      </c>
      <c r="D30" t="str">
        <f>LEFTB(Sheet1!B27&amp;REPT(" ",$D$2),$D$2)</f>
        <v xml:space="preserve">                              </v>
      </c>
      <c r="E30" s="3" t="s">
        <v>0</v>
      </c>
      <c r="F30" t="str">
        <f>" "&amp;LEFTB(Sheet1!C27&amp;REPT(" ",$F$2),$F$2)</f>
        <v xml:space="preserve">                                                                                                                                                                                                                                                                                                                                                                                                                                                                                                        </v>
      </c>
      <c r="G30" s="3" t="s">
        <v>0</v>
      </c>
      <c r="H30" t="str">
        <f>LEFTB(Sheet1!D27&amp;REPT(" ",$H$2),$H$2)</f>
        <v xml:space="preserve">                </v>
      </c>
      <c r="I30" s="3" t="s">
        <v>0</v>
      </c>
      <c r="J30" s="2" t="str">
        <f>TEXT(Sheet1!E27,"HH:MM")&amp;" "</f>
        <v xml:space="preserve">00:00 </v>
      </c>
      <c r="K30" s="3" t="s">
        <v>0</v>
      </c>
    </row>
  </sheetData>
  <phoneticPr fontId="1"/>
  <pageMargins left="0.7" right="0.7" top="0.75" bottom="0.75" header="0.3" footer="0.3"/>
  <pageSetup paperSize="9" orientation="portrait" horizontalDpi="200" verticalDpi="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36534-7553-41FD-8D08-7FF9A6C76CAC}">
  <dimension ref="A1:E12"/>
  <sheetViews>
    <sheetView workbookViewId="0">
      <selection sqref="A1:XFD1048576"/>
    </sheetView>
  </sheetViews>
  <sheetFormatPr defaultRowHeight="19.5"/>
  <cols>
    <col min="1" max="1" width="6.21875" bestFit="1" customWidth="1"/>
    <col min="2" max="2" width="28.5546875" bestFit="1" customWidth="1"/>
    <col min="3" max="3" width="80.88671875" bestFit="1" customWidth="1"/>
    <col min="4" max="4" width="17.5546875" bestFit="1" customWidth="1"/>
    <col min="5" max="5" width="7.77734375" bestFit="1" customWidth="1"/>
  </cols>
  <sheetData>
    <row r="1" spans="1:5">
      <c r="A1" t="s">
        <v>7</v>
      </c>
      <c r="B1" t="s">
        <v>4</v>
      </c>
      <c r="C1" t="s">
        <v>3</v>
      </c>
      <c r="D1" t="s">
        <v>6</v>
      </c>
      <c r="E1" t="s">
        <v>5</v>
      </c>
    </row>
    <row r="2" spans="1:5">
      <c r="A2">
        <v>1</v>
      </c>
      <c r="B2" s="6" t="s">
        <v>8</v>
      </c>
      <c r="C2" s="6" t="s">
        <v>9</v>
      </c>
      <c r="D2" s="6" t="s">
        <v>10</v>
      </c>
      <c r="E2" s="5">
        <v>0.15208333333333332</v>
      </c>
    </row>
    <row r="3" spans="1:5">
      <c r="A3">
        <v>2</v>
      </c>
      <c r="B3" s="6" t="s">
        <v>11</v>
      </c>
      <c r="C3" s="6" t="s">
        <v>12</v>
      </c>
      <c r="D3" s="6" t="s">
        <v>10</v>
      </c>
      <c r="E3" s="5">
        <v>0.17291666666666666</v>
      </c>
    </row>
    <row r="4" spans="1:5">
      <c r="A4">
        <v>3</v>
      </c>
      <c r="B4" s="6" t="s">
        <v>13</v>
      </c>
      <c r="C4" s="6" t="s">
        <v>14</v>
      </c>
      <c r="D4" s="6" t="s">
        <v>10</v>
      </c>
      <c r="E4" s="5">
        <v>0.17777777777777778</v>
      </c>
    </row>
    <row r="5" spans="1:5">
      <c r="A5">
        <v>4</v>
      </c>
      <c r="B5" s="6" t="s">
        <v>15</v>
      </c>
      <c r="C5" s="6" t="s">
        <v>16</v>
      </c>
      <c r="D5" s="6" t="s">
        <v>10</v>
      </c>
      <c r="E5" s="5">
        <v>0.20208333333333334</v>
      </c>
    </row>
    <row r="6" spans="1:5">
      <c r="A6">
        <v>5</v>
      </c>
      <c r="B6" s="6" t="s">
        <v>17</v>
      </c>
      <c r="C6" s="6" t="s">
        <v>18</v>
      </c>
      <c r="D6" s="6" t="s">
        <v>10</v>
      </c>
      <c r="E6" s="5">
        <v>0.20902777777777778</v>
      </c>
    </row>
    <row r="7" spans="1:5">
      <c r="A7">
        <v>6</v>
      </c>
      <c r="B7" s="6" t="s">
        <v>19</v>
      </c>
      <c r="C7" s="6" t="s">
        <v>20</v>
      </c>
      <c r="D7" s="6" t="s">
        <v>10</v>
      </c>
      <c r="E7" s="5">
        <v>0.20833333333333334</v>
      </c>
    </row>
    <row r="8" spans="1:5">
      <c r="A8">
        <v>7</v>
      </c>
      <c r="B8" s="6" t="s">
        <v>21</v>
      </c>
      <c r="C8" s="6" t="s">
        <v>22</v>
      </c>
      <c r="D8" s="6" t="s">
        <v>10</v>
      </c>
      <c r="E8" s="5">
        <v>0.18333333333333332</v>
      </c>
    </row>
    <row r="9" spans="1:5">
      <c r="A9">
        <v>8</v>
      </c>
      <c r="B9" s="6" t="s">
        <v>23</v>
      </c>
      <c r="C9" s="6" t="s">
        <v>24</v>
      </c>
      <c r="D9" s="6" t="s">
        <v>10</v>
      </c>
      <c r="E9" s="5">
        <v>0.16597222222222222</v>
      </c>
    </row>
    <row r="10" spans="1:5">
      <c r="A10">
        <v>9</v>
      </c>
      <c r="B10" s="6" t="s">
        <v>25</v>
      </c>
      <c r="C10" s="6" t="s">
        <v>26</v>
      </c>
      <c r="D10" s="6" t="s">
        <v>10</v>
      </c>
      <c r="E10" s="5">
        <v>0.1361111111111111</v>
      </c>
    </row>
    <row r="11" spans="1:5">
      <c r="A11">
        <v>10</v>
      </c>
      <c r="B11" s="6" t="s">
        <v>27</v>
      </c>
      <c r="C11" s="6" t="s">
        <v>28</v>
      </c>
      <c r="D11" s="6" t="s">
        <v>10</v>
      </c>
      <c r="E11" s="5">
        <v>0.1875</v>
      </c>
    </row>
    <row r="12" spans="1:5">
      <c r="A12">
        <v>11</v>
      </c>
      <c r="B12" s="6" t="s">
        <v>29</v>
      </c>
      <c r="C12" s="6" t="s">
        <v>30</v>
      </c>
      <c r="D12" s="6" t="s">
        <v>10</v>
      </c>
      <c r="E12" s="5">
        <v>0.21875</v>
      </c>
    </row>
  </sheetData>
  <phoneticPr fontId="1"/>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5C6899-8994-4BD8-A5C1-06F551804CF0}">
  <dimension ref="A1"/>
  <sheetViews>
    <sheetView workbookViewId="0"/>
  </sheetViews>
  <sheetFormatPr defaultRowHeight="19.5"/>
  <cols>
    <col min="1" max="1" width="11" bestFit="1" customWidth="1"/>
    <col min="2" max="2" width="24.77734375" bestFit="1" customWidth="1"/>
    <col min="3" max="3" width="80.88671875" bestFit="1" customWidth="1"/>
    <col min="4" max="4" width="31.109375" bestFit="1" customWidth="1"/>
    <col min="5" max="5" width="11" bestFit="1" customWidth="1"/>
  </cols>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B41A06-57E4-4C24-B33A-FEF678AE0C72}">
  <dimension ref="E2:E19"/>
  <sheetViews>
    <sheetView workbookViewId="0"/>
  </sheetViews>
  <sheetFormatPr defaultRowHeight="19.5"/>
  <cols>
    <col min="1" max="1" width="11" bestFit="1" customWidth="1"/>
    <col min="2" max="2" width="19.6640625" bestFit="1" customWidth="1"/>
    <col min="3" max="3" width="80.88671875" bestFit="1" customWidth="1"/>
    <col min="4" max="4" width="47.6640625" bestFit="1" customWidth="1"/>
    <col min="5" max="5" width="7.77734375" bestFit="1" customWidth="1"/>
  </cols>
  <sheetData>
    <row r="2" spans="5:5">
      <c r="E2" s="5"/>
    </row>
    <row r="3" spans="5:5">
      <c r="E3" s="5"/>
    </row>
    <row r="4" spans="5:5">
      <c r="E4" s="5"/>
    </row>
    <row r="5" spans="5:5">
      <c r="E5" s="5"/>
    </row>
    <row r="6" spans="5:5">
      <c r="E6" s="5"/>
    </row>
    <row r="7" spans="5:5">
      <c r="E7" s="5"/>
    </row>
    <row r="8" spans="5:5">
      <c r="E8" s="5"/>
    </row>
    <row r="9" spans="5:5">
      <c r="E9" s="5"/>
    </row>
    <row r="10" spans="5:5">
      <c r="E10" s="5"/>
    </row>
    <row r="11" spans="5:5">
      <c r="E11" s="5"/>
    </row>
    <row r="12" spans="5:5">
      <c r="E12" s="5"/>
    </row>
    <row r="13" spans="5:5">
      <c r="E13" s="5"/>
    </row>
    <row r="14" spans="5:5">
      <c r="E14" s="5"/>
    </row>
    <row r="15" spans="5:5">
      <c r="E15" s="5"/>
    </row>
    <row r="16" spans="5:5">
      <c r="E16" s="5"/>
    </row>
    <row r="17" spans="5:5">
      <c r="E17" s="5"/>
    </row>
    <row r="18" spans="5:5">
      <c r="E18" s="5"/>
    </row>
    <row r="19" spans="5:5">
      <c r="E19" s="5"/>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CAF7BB-8118-4B05-86C6-5011E8B575A6}">
  <dimension ref="E2:E13"/>
  <sheetViews>
    <sheetView workbookViewId="0"/>
  </sheetViews>
  <sheetFormatPr defaultRowHeight="19.5"/>
  <cols>
    <col min="1" max="1" width="6.21875" bestFit="1" customWidth="1"/>
    <col min="2" max="2" width="17.6640625" bestFit="1" customWidth="1"/>
    <col min="3" max="3" width="52.5546875" bestFit="1" customWidth="1"/>
    <col min="4" max="4" width="58.109375" bestFit="1" customWidth="1"/>
    <col min="5" max="5" width="7.5546875" bestFit="1" customWidth="1"/>
  </cols>
  <sheetData>
    <row r="2" spans="5:5">
      <c r="E2" s="5"/>
    </row>
    <row r="3" spans="5:5">
      <c r="E3" s="5"/>
    </row>
    <row r="4" spans="5:5">
      <c r="E4" s="5"/>
    </row>
    <row r="5" spans="5:5">
      <c r="E5" s="5"/>
    </row>
    <row r="6" spans="5:5">
      <c r="E6" s="5"/>
    </row>
    <row r="7" spans="5:5">
      <c r="E7" s="5"/>
    </row>
    <row r="8" spans="5:5">
      <c r="E8" s="5"/>
    </row>
    <row r="9" spans="5:5">
      <c r="E9" s="5"/>
    </row>
    <row r="10" spans="5:5">
      <c r="E10" s="5"/>
    </row>
    <row r="11" spans="5:5">
      <c r="E11" s="5"/>
    </row>
    <row r="12" spans="5:5">
      <c r="E12" s="5"/>
    </row>
    <row r="13" spans="5:5">
      <c r="E13" s="5"/>
    </row>
  </sheetData>
  <phoneticPr fontId="1"/>
  <pageMargins left="0.7" right="0.7" top="0.75" bottom="0.75" header="0.3" footer="0.3"/>
  <pageSetup paperSize="9" orientation="portrait" horizontalDpi="300" verticalDpi="30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35356AA-48A3-43B8-AC21-6CF0F69D276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6</vt:i4>
      </vt:variant>
    </vt:vector>
  </HeadingPairs>
  <TitlesOfParts>
    <vt:vector size="6" baseType="lpstr">
      <vt:lpstr>Sheet1</vt:lpstr>
      <vt:lpstr>Sheet2</vt:lpstr>
      <vt:lpstr>テーブル 5 (41)</vt:lpstr>
      <vt:lpstr>テーブル 5 (39)</vt:lpstr>
      <vt:lpstr>テーブル 5 (37)</vt:lpstr>
      <vt:lpstr>テーブル 5 (33)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KAZUHIDE Yokoyama</dc:creator>
  <cp:lastModifiedBy>Yokoyama Kazuhide</cp:lastModifiedBy>
  <dcterms:created xsi:type="dcterms:W3CDTF">2020-06-01T02:07:32Z</dcterms:created>
  <dcterms:modified xsi:type="dcterms:W3CDTF">2025-03-08T12:24:18Z</dcterms:modified>
</cp:coreProperties>
</file>