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95636DF9-ABA0-4183-873E-78C399360C91}" xr6:coauthVersionLast="47" xr6:coauthVersionMax="47" xr10:uidLastSave="{00000000-0000-0000-0000-000000000000}"/>
  <bookViews>
    <workbookView xWindow="13476" yWindow="912" windowWidth="21912" windowHeight="16824" activeTab="1" xr2:uid="{00000000-000D-0000-FFFF-FFFF00000000}"/>
  </bookViews>
  <sheets>
    <sheet name="Sheet1" sheetId="1" r:id="rId1"/>
    <sheet name="Sheet2" sheetId="2" r:id="rId2"/>
    <sheet name="テーブル 5 (33)" sheetId="56" r:id="rId3"/>
    <sheet name="テーブル 5 (31)" sheetId="55" r:id="rId4"/>
    <sheet name="テーブル 5 (29)" sheetId="54" r:id="rId5"/>
    <sheet name="テーブル 5 (27)" sheetId="53" r:id="rId6"/>
    <sheet name="テーブル 5 (25)" sheetId="52" r:id="rId7"/>
    <sheet name="テーブル 5 (23)" sheetId="51" r:id="rId8"/>
  </sheets>
  <definedNames>
    <definedName name="ExternalData_1" localSheetId="2" hidden="1">'テーブル 5 (33)'!$A$1:$E$13</definedName>
    <definedName name="ExternalData_2" localSheetId="0" hidden="1">Sheet1!$A$1:$E$13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08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09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10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1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1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<sst xmlns="http://schemas.openxmlformats.org/spreadsheetml/2006/main" count="252" uniqueCount="34">
  <si>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</si>
  <si>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</si>
  <si>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</si>
  <si>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</si>
  <si>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</si>
  <si>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</si>
  <si>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</si>
  <si>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No.</t>
  </si>
  <si>
    <t>wacced out murals</t>
  </si>
  <si>
    <t>Deyra Barrera / Kendrick Lamar</t>
  </si>
  <si>
    <t>Kendrick Lamar</t>
  </si>
  <si>
    <t>squabble up</t>
  </si>
  <si>
    <t>luther</t>
  </si>
  <si>
    <t>Sam Dew / Ink / Kendrick Lamar / SZA</t>
  </si>
  <si>
    <t>Kendrick Lamar feat: SZA</t>
  </si>
  <si>
    <t>man at the garden</t>
  </si>
  <si>
    <t>hey now</t>
  </si>
  <si>
    <t>Dody6 / Kendrick Lamar</t>
  </si>
  <si>
    <t>Kendrick Lamar feat: Dody6</t>
  </si>
  <si>
    <t>reincarnated</t>
  </si>
  <si>
    <t>tv off</t>
  </si>
  <si>
    <t>Kendrick Lamar feat: Lefty Gunplay</t>
  </si>
  <si>
    <t>dodger blue</t>
  </si>
  <si>
    <t>Sam Dew / Kendrick Lamar / Wallie the Sensei / Siete7x</t>
  </si>
  <si>
    <t>Kendrick Lamar feat: Roddy Ricch / Wallie the Sensei / Siete7x</t>
  </si>
  <si>
    <t>peekaboo</t>
  </si>
  <si>
    <t>AzChike / Kendrick Lamar</t>
  </si>
  <si>
    <t>Kendrick Lamar feat: AzChike</t>
  </si>
  <si>
    <t>heart, Pt. 6</t>
  </si>
  <si>
    <t>gnx</t>
  </si>
  <si>
    <t>Hitta J3 / Kendrick Lamar / Peysoh / Youngthreat</t>
  </si>
  <si>
    <t>Kendrick Lamar feat: Hitta J3 / Peysoh / Youngthreat</t>
  </si>
  <si>
    <t>gloria</t>
  </si>
  <si>
    <t>Deyra Barrera / Ink / Kendrick Lamar / SZA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</si>
</sst>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6" xr16:uid="{4696B94F-D135-429C-9011-3928F3CE31AA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5" xr16:uid="{1A41570A-8B26-4F38-BCA4-8BF8E7630B96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84DF56-E7D3-4537-A6CD-C6D11B93A98C}" name="テーブル_5__333" displayName="テーブル_5__333" ref="A1:E13" tableType="queryTable" totalsRowShown="0">
  <autoFilter ref="A1:E13" xr:uid="{2284DF56-E7D3-4537-A6CD-C6D11B93A98C}"/>
  <tableColumns count="5">
    <tableColumn id="1" xr3:uid="{BD9CAFB0-6F7C-41E4-9FCE-91263303CCA2}" uniqueName="1" name="No." queryTableFieldId="1"/>
    <tableColumn id="2" xr3:uid="{7121F67C-94AC-4FE8-8D39-CE9395699E83}" uniqueName="2" name="Title" queryTableFieldId="2" dataDxfId="3"/>
    <tableColumn id="3" xr3:uid="{ECCAD31E-6864-432E-AB3B-7EEB9DBAD776}" uniqueName="3" name="Composer" queryTableFieldId="3" dataDxfId="2"/>
    <tableColumn id="4" xr3:uid="{85CBEC72-9144-475E-95F9-567700621ADF}" uniqueName="4" name="Performer" queryTableFieldId="4" dataDxfId="1"/>
    <tableColumn id="5" xr3:uid="{F80EDA52-B6C6-4299-ADB0-64D9F2CB2B71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C59502-236F-440B-B115-E292822352A1}" name="テーブル_5__33" displayName="テーブル_5__33" ref="A1:E13" tableType="queryTable" totalsRowShown="0">
  <autoFilter ref="A1:E13" xr:uid="{48C59502-236F-440B-B115-E292822352A1}"/>
  <tableColumns count="5">
    <tableColumn id="1" xr3:uid="{B8A41916-1049-4EDF-99AC-B12E873F120C}" uniqueName="1" name="No." queryTableFieldId="1"/>
    <tableColumn id="2" xr3:uid="{A3E29AC2-AA00-4538-AB5E-668237D3F52C}" uniqueName="2" name="Title" queryTableFieldId="2" dataDxfId="7"/>
    <tableColumn id="3" xr3:uid="{1B25524B-704E-4261-8AC2-C87E23F1CF42}" uniqueName="3" name="Composer" queryTableFieldId="3" dataDxfId="6"/>
    <tableColumn id="4" xr3:uid="{BE30E604-D31D-4B4A-B9ED-749711136231}" uniqueName="4" name="Performer" queryTableFieldId="4" dataDxfId="5"/>
    <tableColumn id="5" xr3:uid="{ED066553-A7F0-41C5-8DB8-D33B63322F4F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sqref="A1:XFD1048576"/>
    </sheetView>
  </sheetViews>
  <sheetFormatPr defaultRowHeight="19.8"/>
  <cols>
    <col min="1" max="1" width="6.1796875" bestFit="1" customWidth="1"/>
    <col min="2" max="2" width="17.6328125" bestFit="1" customWidth="1"/>
    <col min="3" max="3" width="52.54296875" bestFit="1" customWidth="1"/>
    <col min="4" max="4" width="58.0898437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0.22013888888888888</v>
      </c>
    </row>
    <row r="3" spans="1:5">
      <c r="A3">
        <v>2</v>
      </c>
      <c r="B3" s="6" t="s">
        <v>11</v>
      </c>
      <c r="C3" s="6" t="s">
        <v>10</v>
      </c>
      <c r="D3" s="6" t="s">
        <v>10</v>
      </c>
      <c r="E3" s="5">
        <v>0.10972222222222222</v>
      </c>
    </row>
    <row r="4" spans="1:5">
      <c r="A4">
        <v>3</v>
      </c>
      <c r="B4" s="6" t="s">
        <v>12</v>
      </c>
      <c r="C4" s="6" t="s">
        <v>13</v>
      </c>
      <c r="D4" s="6" t="s">
        <v>14</v>
      </c>
      <c r="E4" s="5">
        <v>0.12361111111111112</v>
      </c>
    </row>
    <row r="5" spans="1:5">
      <c r="A5">
        <v>4</v>
      </c>
      <c r="B5" s="6" t="s">
        <v>15</v>
      </c>
      <c r="C5" s="6" t="s">
        <v>10</v>
      </c>
      <c r="D5" s="6" t="s">
        <v>10</v>
      </c>
      <c r="E5" s="5">
        <v>0.16180555555555556</v>
      </c>
    </row>
    <row r="6" spans="1:5">
      <c r="A6">
        <v>5</v>
      </c>
      <c r="B6" s="6" t="s">
        <v>16</v>
      </c>
      <c r="C6" s="6" t="s">
        <v>17</v>
      </c>
      <c r="D6" s="6" t="s">
        <v>18</v>
      </c>
      <c r="E6" s="5">
        <v>0.15069444444444444</v>
      </c>
    </row>
    <row r="7" spans="1:5">
      <c r="A7">
        <v>6</v>
      </c>
      <c r="B7" s="6" t="s">
        <v>19</v>
      </c>
      <c r="C7" s="6" t="s">
        <v>9</v>
      </c>
      <c r="D7" s="6" t="s">
        <v>10</v>
      </c>
      <c r="E7" s="5">
        <v>0.19166666666666668</v>
      </c>
    </row>
    <row r="8" spans="1:5">
      <c r="A8">
        <v>7</v>
      </c>
      <c r="B8" s="6" t="s">
        <v>20</v>
      </c>
      <c r="C8" s="6" t="s">
        <v>10</v>
      </c>
      <c r="D8" s="6" t="s">
        <v>21</v>
      </c>
      <c r="E8" s="5">
        <v>0.15347222222222223</v>
      </c>
    </row>
    <row r="9" spans="1:5">
      <c r="A9">
        <v>8</v>
      </c>
      <c r="B9" s="6" t="s">
        <v>22</v>
      </c>
      <c r="C9" s="6" t="s">
        <v>23</v>
      </c>
      <c r="D9" s="6" t="s">
        <v>24</v>
      </c>
      <c r="E9" s="5">
        <v>9.0972222222222218E-2</v>
      </c>
    </row>
    <row r="10" spans="1:5">
      <c r="A10">
        <v>9</v>
      </c>
      <c r="B10" s="6" t="s">
        <v>25</v>
      </c>
      <c r="C10" s="6" t="s">
        <v>26</v>
      </c>
      <c r="D10" s="6" t="s">
        <v>27</v>
      </c>
      <c r="E10" s="5">
        <v>0.10833333333333334</v>
      </c>
    </row>
    <row r="11" spans="1:5">
      <c r="A11">
        <v>10</v>
      </c>
      <c r="B11" s="6" t="s">
        <v>28</v>
      </c>
      <c r="C11" s="6" t="s">
        <v>10</v>
      </c>
      <c r="D11" s="6" t="s">
        <v>10</v>
      </c>
      <c r="E11" s="5">
        <v>0.20277777777777778</v>
      </c>
    </row>
    <row r="12" spans="1:5">
      <c r="A12">
        <v>11</v>
      </c>
      <c r="B12" s="6" t="s">
        <v>29</v>
      </c>
      <c r="C12" s="6" t="s">
        <v>30</v>
      </c>
      <c r="D12" s="6" t="s">
        <v>31</v>
      </c>
      <c r="E12" s="5">
        <v>0.13472222222222222</v>
      </c>
    </row>
    <row r="13" spans="1:5">
      <c r="A13">
        <v>12</v>
      </c>
      <c r="B13" s="6" t="s">
        <v>32</v>
      </c>
      <c r="C13" s="6" t="s">
        <v>33</v>
      </c>
      <c r="D13" s="6" t="s">
        <v>14</v>
      </c>
      <c r="E13" s="5">
        <v>0.2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16" sqref="A3:K16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17</v>
      </c>
      <c r="F2" s="1">
        <f t="array" ref="F2">MAX(LENB(Sheet1!C1:'Sheet1'!C30))</f>
        <v>54</v>
      </c>
      <c r="H2" s="1">
        <f t="array" ref="H2">MAX(LENB(Sheet1!D1:'Sheet1'!D30))</f>
        <v>62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</v>
      </c>
      <c r="E3" s="3" t="s">
        <v>0</v>
      </c>
      <c r="F3" t="str">
        <f>" "&amp;LEFTB("Composers"&amp;REPT(" ",$F$2-1),$F$2-1)</f>
        <v xml:space="preserve"> Composers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 </v>
      </c>
      <c r="E4" s="3" t="s">
        <v>0</v>
      </c>
      <c r="F4" t="str">
        <f>" "&amp;REPT("-",$F$2)&amp;" "</f>
        <v xml:space="preserve"> ------------------------------------------------------ </v>
      </c>
      <c r="G4" s="3" t="s">
        <v>0</v>
      </c>
      <c r="H4" t="str">
        <f>" "&amp;REPT("-",$H$2)&amp;" "</f>
        <v xml:space="preserve"> --------------------------------------------------------------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>wacced out murals</v>
      </c>
      <c r="E5" s="3" t="s">
        <v>0</v>
      </c>
      <c r="F5" t="str">
        <f>" "&amp;LEFTB(Sheet1!C2&amp;REPT(" ",$F$2),$F$2)</f>
        <v xml:space="preserve"> Deyra Barrera / Kendrick Lamar                        </v>
      </c>
      <c r="G5" s="3" t="s">
        <v>0</v>
      </c>
      <c r="H5" t="str">
        <f>LEFTB(Sheet1!D2&amp;REPT(" ",$H$2),$H$2)</f>
        <v xml:space="preserve">Kendrick Lamar                                                </v>
      </c>
      <c r="I5" s="3" t="s">
        <v>0</v>
      </c>
      <c r="J5" s="2" t="str">
        <f>TEXT(Sheet1!E2,"HH:MM")&amp;" "</f>
        <v xml:space="preserve">05:17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squabble up      </v>
      </c>
      <c r="E6" s="3" t="s">
        <v>0</v>
      </c>
      <c r="F6" t="str">
        <f>" "&amp;LEFTB(Sheet1!C3&amp;REPT(" ",$F$2),$F$2)</f>
        <v xml:space="preserve"> Kendrick Lamar                                        </v>
      </c>
      <c r="G6" s="3" t="s">
        <v>0</v>
      </c>
      <c r="H6" t="str">
        <f>LEFTB(Sheet1!D3&amp;REPT(" ",$H$2),$H$2)</f>
        <v xml:space="preserve">Kendrick Lamar                                                </v>
      </c>
      <c r="I6" s="3" t="s">
        <v>0</v>
      </c>
      <c r="J6" s="2" t="str">
        <f>TEXT(Sheet1!E3,"HH:MM")&amp;" "</f>
        <v xml:space="preserve">02:38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luther           </v>
      </c>
      <c r="E7" s="3" t="s">
        <v>0</v>
      </c>
      <c r="F7" t="str">
        <f>" "&amp;LEFTB(Sheet1!C4&amp;REPT(" ",$F$2),$F$2)</f>
        <v xml:space="preserve"> Sam Dew / Ink / Kendrick Lamar / SZA                  </v>
      </c>
      <c r="G7" s="3" t="s">
        <v>0</v>
      </c>
      <c r="H7" t="str">
        <f>LEFTB(Sheet1!D4&amp;REPT(" ",$H$2),$H$2)</f>
        <v xml:space="preserve">Kendrick Lamar feat: SZA                                      </v>
      </c>
      <c r="I7" s="3" t="s">
        <v>0</v>
      </c>
      <c r="J7" s="2" t="str">
        <f>TEXT(Sheet1!E4,"HH:MM")&amp;" "</f>
        <v xml:space="preserve">02:58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>man at the garden</v>
      </c>
      <c r="E8" s="3" t="s">
        <v>0</v>
      </c>
      <c r="F8" t="str">
        <f>" "&amp;LEFTB(Sheet1!C5&amp;REPT(" ",$F$2),$F$2)</f>
        <v xml:space="preserve"> Kendrick Lamar                                        </v>
      </c>
      <c r="G8" s="3" t="s">
        <v>0</v>
      </c>
      <c r="H8" t="str">
        <f>LEFTB(Sheet1!D5&amp;REPT(" ",$H$2),$H$2)</f>
        <v xml:space="preserve">Kendrick Lamar                                                </v>
      </c>
      <c r="I8" s="3" t="s">
        <v>0</v>
      </c>
      <c r="J8" s="2" t="str">
        <f>TEXT(Sheet1!E5,"HH:MM")&amp;" "</f>
        <v xml:space="preserve">03:53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hey now          </v>
      </c>
      <c r="E9" s="3" t="s">
        <v>0</v>
      </c>
      <c r="F9" t="str">
        <f>" "&amp;LEFTB(Sheet1!C6&amp;REPT(" ",$F$2),$F$2)</f>
        <v xml:space="preserve"> Dody6 / Kendrick Lamar                                </v>
      </c>
      <c r="G9" s="3" t="s">
        <v>0</v>
      </c>
      <c r="H9" t="str">
        <f>LEFTB(Sheet1!D6&amp;REPT(" ",$H$2),$H$2)</f>
        <v xml:space="preserve">Kendrick Lamar feat: Dody6                                    </v>
      </c>
      <c r="I9" s="3" t="s">
        <v>0</v>
      </c>
      <c r="J9" s="2" t="str">
        <f>TEXT(Sheet1!E6,"HH:MM")&amp;" "</f>
        <v xml:space="preserve">03:37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reincarnated     </v>
      </c>
      <c r="E10" s="3" t="s">
        <v>0</v>
      </c>
      <c r="F10" t="str">
        <f>" "&amp;LEFTB(Sheet1!C7&amp;REPT(" ",$F$2),$F$2)</f>
        <v xml:space="preserve"> Deyra Barrera / Kendrick Lamar                        </v>
      </c>
      <c r="G10" s="3" t="s">
        <v>0</v>
      </c>
      <c r="H10" t="str">
        <f>LEFTB(Sheet1!D7&amp;REPT(" ",$H$2),$H$2)</f>
        <v xml:space="preserve">Kendrick Lamar                                                </v>
      </c>
      <c r="I10" s="3" t="s">
        <v>0</v>
      </c>
      <c r="J10" s="2" t="str">
        <f>TEXT(Sheet1!E7,"HH:MM")&amp;" "</f>
        <v xml:space="preserve">04:36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tv off           </v>
      </c>
      <c r="E11" s="3" t="s">
        <v>0</v>
      </c>
      <c r="F11" t="str">
        <f>" "&amp;LEFTB(Sheet1!C8&amp;REPT(" ",$F$2),$F$2)</f>
        <v xml:space="preserve"> Kendrick Lamar                                        </v>
      </c>
      <c r="G11" s="3" t="s">
        <v>0</v>
      </c>
      <c r="H11" t="str">
        <f>LEFTB(Sheet1!D8&amp;REPT(" ",$H$2),$H$2)</f>
        <v xml:space="preserve">Kendrick Lamar feat: Lefty Gunplay                            </v>
      </c>
      <c r="I11" s="3" t="s">
        <v>0</v>
      </c>
      <c r="J11" s="2" t="str">
        <f>TEXT(Sheet1!E8,"HH:MM")&amp;" "</f>
        <v xml:space="preserve">03:41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dodger blue      </v>
      </c>
      <c r="E12" s="3" t="s">
        <v>0</v>
      </c>
      <c r="F12" t="str">
        <f>" "&amp;LEFTB(Sheet1!C9&amp;REPT(" ",$F$2),$F$2)</f>
        <v xml:space="preserve"> Sam Dew / Kendrick Lamar / Wallie the Sensei / Siete7x</v>
      </c>
      <c r="G12" s="3" t="s">
        <v>0</v>
      </c>
      <c r="H12" t="str">
        <f>LEFTB(Sheet1!D9&amp;REPT(" ",$H$2),$H$2)</f>
        <v>Kendrick Lamar feat: Roddy Ricch / Wallie the Sensei / Siete7x</v>
      </c>
      <c r="I12" s="3" t="s">
        <v>0</v>
      </c>
      <c r="J12" s="2" t="str">
        <f>TEXT(Sheet1!E9,"HH:MM")&amp;" "</f>
        <v xml:space="preserve">02:11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peekaboo         </v>
      </c>
      <c r="E13" s="3" t="s">
        <v>0</v>
      </c>
      <c r="F13" t="str">
        <f>" "&amp;LEFTB(Sheet1!C10&amp;REPT(" ",$F$2),$F$2)</f>
        <v xml:space="preserve"> AzChike / Kendrick Lamar                              </v>
      </c>
      <c r="G13" s="3" t="s">
        <v>0</v>
      </c>
      <c r="H13" t="str">
        <f>LEFTB(Sheet1!D10&amp;REPT(" ",$H$2),$H$2)</f>
        <v xml:space="preserve">Kendrick Lamar feat: AzChike                                  </v>
      </c>
      <c r="I13" s="3" t="s">
        <v>0</v>
      </c>
      <c r="J13" s="2" t="str">
        <f>TEXT(Sheet1!E10,"HH:MM")&amp;" "</f>
        <v xml:space="preserve">02:36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heart, Pt. 6     </v>
      </c>
      <c r="E14" s="3" t="s">
        <v>0</v>
      </c>
      <c r="F14" t="str">
        <f>" "&amp;LEFTB(Sheet1!C11&amp;REPT(" ",$F$2),$F$2)</f>
        <v xml:space="preserve"> Kendrick Lamar                                        </v>
      </c>
      <c r="G14" s="3" t="s">
        <v>0</v>
      </c>
      <c r="H14" t="str">
        <f>LEFTB(Sheet1!D11&amp;REPT(" ",$H$2),$H$2)</f>
        <v xml:space="preserve">Kendrick Lamar                                                </v>
      </c>
      <c r="I14" s="3" t="s">
        <v>0</v>
      </c>
      <c r="J14" s="2" t="str">
        <f>TEXT(Sheet1!E11,"HH:MM")&amp;" "</f>
        <v xml:space="preserve">04:52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gnx              </v>
      </c>
      <c r="E15" s="3" t="s">
        <v>0</v>
      </c>
      <c r="F15" t="str">
        <f>" "&amp;LEFTB(Sheet1!C12&amp;REPT(" ",$F$2),$F$2)</f>
        <v xml:space="preserve"> Hitta J3 / Kendrick Lamar / Peysoh / Youngthreat      </v>
      </c>
      <c r="G15" s="3" t="s">
        <v>0</v>
      </c>
      <c r="H15" t="str">
        <f>LEFTB(Sheet1!D12&amp;REPT(" ",$H$2),$H$2)</f>
        <v xml:space="preserve">Kendrick Lamar feat: Hitta J3 / Peysoh / Youngthreat          </v>
      </c>
      <c r="I15" s="3" t="s">
        <v>0</v>
      </c>
      <c r="J15" s="2" t="str">
        <f>TEXT(Sheet1!E12,"HH:MM")&amp;" "</f>
        <v xml:space="preserve">03:14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gloria           </v>
      </c>
      <c r="E16" s="3" t="s">
        <v>0</v>
      </c>
      <c r="F16" t="str">
        <f>" "&amp;LEFTB(Sheet1!C13&amp;REPT(" ",$F$2),$F$2)</f>
        <v xml:space="preserve"> Deyra Barrera / Ink / Kendrick Lamar / SZA            </v>
      </c>
      <c r="G16" s="3" t="s">
        <v>0</v>
      </c>
      <c r="H16" t="str">
        <f>LEFTB(Sheet1!D13&amp;REPT(" ",$H$2),$H$2)</f>
        <v xml:space="preserve">Kendrick Lamar feat: SZA                                      </v>
      </c>
      <c r="I16" s="3" t="s">
        <v>0</v>
      </c>
      <c r="J16" s="2" t="str">
        <f>TEXT(Sheet1!E13,"HH:MM")&amp;" "</f>
        <v xml:space="preserve">04:48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</v>
      </c>
      <c r="E17" s="3" t="s">
        <v>0</v>
      </c>
      <c r="F17" t="str">
        <f>" "&amp;LEFTB(Sheet1!C14&amp;REPT(" ",$F$2),$F$2)</f>
        <v xml:space="preserve">                                                       </v>
      </c>
      <c r="G17" s="3" t="s">
        <v>0</v>
      </c>
      <c r="H17" t="str">
        <f>LEFTB(Sheet1!D14&amp;REPT(" ",$H$2),$H$2)</f>
        <v xml:space="preserve">                            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</v>
      </c>
      <c r="E18" s="3" t="s">
        <v>0</v>
      </c>
      <c r="F18" t="str">
        <f>" "&amp;LEFTB(Sheet1!C15&amp;REPT(" ",$F$2),$F$2)</f>
        <v xml:space="preserve">                                                       </v>
      </c>
      <c r="G18" s="3" t="s">
        <v>0</v>
      </c>
      <c r="H18" t="str">
        <f>LEFTB(Sheet1!D15&amp;REPT(" ",$H$2),$H$2)</f>
        <v xml:space="preserve">                            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</v>
      </c>
      <c r="E19" s="3" t="s">
        <v>0</v>
      </c>
      <c r="F19" t="str">
        <f>" "&amp;LEFTB(Sheet1!C16&amp;REPT(" ",$F$2),$F$2)</f>
        <v xml:space="preserve">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</v>
      </c>
      <c r="E20" s="3" t="s">
        <v>0</v>
      </c>
      <c r="F20" t="str">
        <f>" "&amp;LEFTB(Sheet1!C17&amp;REPT(" ",$F$2),$F$2)</f>
        <v xml:space="preserve">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</v>
      </c>
      <c r="E21" s="3" t="s">
        <v>0</v>
      </c>
      <c r="F21" t="str">
        <f>" "&amp;LEFTB(Sheet1!C18&amp;REPT(" ",$F$2),$F$2)</f>
        <v xml:space="preserve">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</v>
      </c>
      <c r="E22" s="3" t="s">
        <v>0</v>
      </c>
      <c r="F22" t="str">
        <f>" "&amp;LEFTB(Sheet1!C19&amp;REPT(" ",$F$2),$F$2)</f>
        <v xml:space="preserve">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</v>
      </c>
      <c r="E23" s="3" t="s">
        <v>0</v>
      </c>
      <c r="F23" t="str">
        <f>" "&amp;LEFTB(Sheet1!C20&amp;REPT(" ",$F$2),$F$2)</f>
        <v xml:space="preserve">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</v>
      </c>
      <c r="E24" s="3" t="s">
        <v>0</v>
      </c>
      <c r="F24" t="str">
        <f>" "&amp;LEFTB(Sheet1!C21&amp;REPT(" ",$F$2),$F$2)</f>
        <v xml:space="preserve">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</v>
      </c>
      <c r="E25" s="3" t="s">
        <v>0</v>
      </c>
      <c r="F25" t="str">
        <f>" "&amp;LEFTB(Sheet1!C22&amp;REPT(" ",$F$2),$F$2)</f>
        <v xml:space="preserve">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</v>
      </c>
      <c r="E26" s="3" t="s">
        <v>0</v>
      </c>
      <c r="F26" t="str">
        <f>" "&amp;LEFTB(Sheet1!C23&amp;REPT(" ",$F$2),$F$2)</f>
        <v xml:space="preserve">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</v>
      </c>
      <c r="E27" s="3" t="s">
        <v>0</v>
      </c>
      <c r="F27" t="str">
        <f>" "&amp;LEFTB(Sheet1!C24&amp;REPT(" ",$F$2),$F$2)</f>
        <v xml:space="preserve">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</v>
      </c>
      <c r="E28" s="3" t="s">
        <v>0</v>
      </c>
      <c r="F28" t="str">
        <f>" "&amp;LEFTB(Sheet1!C25&amp;REPT(" ",$F$2),$F$2)</f>
        <v xml:space="preserve">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</v>
      </c>
      <c r="E29" s="3" t="s">
        <v>0</v>
      </c>
      <c r="F29" t="str">
        <f>" "&amp;LEFTB(Sheet1!C26&amp;REPT(" ",$F$2),$F$2)</f>
        <v xml:space="preserve">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</v>
      </c>
      <c r="E30" s="3" t="s">
        <v>0</v>
      </c>
      <c r="F30" t="str">
        <f>" "&amp;LEFTB(Sheet1!C27&amp;REPT(" ",$F$2),$F$2)</f>
        <v xml:space="preserve">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F7BB-8118-4B05-86C6-5011E8B575A6}">
  <dimension ref="A1:E13"/>
  <sheetViews>
    <sheetView workbookViewId="0">
      <selection sqref="A1:XFD1048576"/>
    </sheetView>
  </sheetViews>
  <sheetFormatPr defaultRowHeight="19.8"/>
  <cols>
    <col min="1" max="1" width="6.1796875" bestFit="1" customWidth="1"/>
    <col min="2" max="2" width="17.6328125" bestFit="1" customWidth="1"/>
    <col min="3" max="3" width="52.54296875" bestFit="1" customWidth="1"/>
    <col min="4" max="4" width="58.0898437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0.22013888888888888</v>
      </c>
    </row>
    <row r="3" spans="1:5">
      <c r="A3">
        <v>2</v>
      </c>
      <c r="B3" s="6" t="s">
        <v>11</v>
      </c>
      <c r="C3" s="6" t="s">
        <v>10</v>
      </c>
      <c r="D3" s="6" t="s">
        <v>10</v>
      </c>
      <c r="E3" s="5">
        <v>0.10972222222222222</v>
      </c>
    </row>
    <row r="4" spans="1:5">
      <c r="A4">
        <v>3</v>
      </c>
      <c r="B4" s="6" t="s">
        <v>12</v>
      </c>
      <c r="C4" s="6" t="s">
        <v>13</v>
      </c>
      <c r="D4" s="6" t="s">
        <v>14</v>
      </c>
      <c r="E4" s="5">
        <v>0.12361111111111112</v>
      </c>
    </row>
    <row r="5" spans="1:5">
      <c r="A5">
        <v>4</v>
      </c>
      <c r="B5" s="6" t="s">
        <v>15</v>
      </c>
      <c r="C5" s="6" t="s">
        <v>10</v>
      </c>
      <c r="D5" s="6" t="s">
        <v>10</v>
      </c>
      <c r="E5" s="5">
        <v>0.16180555555555556</v>
      </c>
    </row>
    <row r="6" spans="1:5">
      <c r="A6">
        <v>5</v>
      </c>
      <c r="B6" s="6" t="s">
        <v>16</v>
      </c>
      <c r="C6" s="6" t="s">
        <v>17</v>
      </c>
      <c r="D6" s="6" t="s">
        <v>18</v>
      </c>
      <c r="E6" s="5">
        <v>0.15069444444444444</v>
      </c>
    </row>
    <row r="7" spans="1:5">
      <c r="A7">
        <v>6</v>
      </c>
      <c r="B7" s="6" t="s">
        <v>19</v>
      </c>
      <c r="C7" s="6" t="s">
        <v>9</v>
      </c>
      <c r="D7" s="6" t="s">
        <v>10</v>
      </c>
      <c r="E7" s="5">
        <v>0.19166666666666668</v>
      </c>
    </row>
    <row r="8" spans="1:5">
      <c r="A8">
        <v>7</v>
      </c>
      <c r="B8" s="6" t="s">
        <v>20</v>
      </c>
      <c r="C8" s="6" t="s">
        <v>10</v>
      </c>
      <c r="D8" s="6" t="s">
        <v>21</v>
      </c>
      <c r="E8" s="5">
        <v>0.15347222222222223</v>
      </c>
    </row>
    <row r="9" spans="1:5">
      <c r="A9">
        <v>8</v>
      </c>
      <c r="B9" s="6" t="s">
        <v>22</v>
      </c>
      <c r="C9" s="6" t="s">
        <v>23</v>
      </c>
      <c r="D9" s="6" t="s">
        <v>24</v>
      </c>
      <c r="E9" s="5">
        <v>9.0972222222222218E-2</v>
      </c>
    </row>
    <row r="10" spans="1:5">
      <c r="A10">
        <v>9</v>
      </c>
      <c r="B10" s="6" t="s">
        <v>25</v>
      </c>
      <c r="C10" s="6" t="s">
        <v>26</v>
      </c>
      <c r="D10" s="6" t="s">
        <v>27</v>
      </c>
      <c r="E10" s="5">
        <v>0.10833333333333334</v>
      </c>
    </row>
    <row r="11" spans="1:5">
      <c r="A11">
        <v>10</v>
      </c>
      <c r="B11" s="6" t="s">
        <v>28</v>
      </c>
      <c r="C11" s="6" t="s">
        <v>10</v>
      </c>
      <c r="D11" s="6" t="s">
        <v>10</v>
      </c>
      <c r="E11" s="5">
        <v>0.20277777777777778</v>
      </c>
    </row>
    <row r="12" spans="1:5">
      <c r="A12">
        <v>11</v>
      </c>
      <c r="B12" s="6" t="s">
        <v>29</v>
      </c>
      <c r="C12" s="6" t="s">
        <v>30</v>
      </c>
      <c r="D12" s="6" t="s">
        <v>31</v>
      </c>
      <c r="E12" s="5">
        <v>0.13472222222222222</v>
      </c>
    </row>
    <row r="13" spans="1:5">
      <c r="A13">
        <v>12</v>
      </c>
      <c r="B13" s="6" t="s">
        <v>32</v>
      </c>
      <c r="C13" s="6" t="s">
        <v>33</v>
      </c>
      <c r="D13" s="6" t="s">
        <v>14</v>
      </c>
      <c r="E13" s="5">
        <v>0.2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4C9B3-9D7B-41BE-8DBF-B7E973EBDA5D}">
  <dimension ref="E2:E20"/>
  <sheetViews>
    <sheetView workbookViewId="0"/>
  </sheetViews>
  <sheetFormatPr defaultRowHeight="19.8"/>
  <cols>
    <col min="1" max="1" width="10.81640625" bestFit="1" customWidth="1"/>
    <col min="2" max="2" width="30.54296875" bestFit="1" customWidth="1"/>
    <col min="3" max="3" width="44.1796875" bestFit="1" customWidth="1"/>
    <col min="4" max="4" width="21.45312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5022-4DA8-434C-B727-641ED80E7680}">
  <dimension ref="E2:E13"/>
  <sheetViews>
    <sheetView workbookViewId="0"/>
  </sheetViews>
  <sheetFormatPr defaultRowHeight="19.8"/>
  <cols>
    <col min="1" max="1" width="11" bestFit="1" customWidth="1"/>
    <col min="2" max="2" width="13.453125" bestFit="1" customWidth="1"/>
    <col min="3" max="3" width="80.90625" bestFit="1" customWidth="1"/>
    <col min="4" max="4" width="33.63281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432-1111-4CF9-8347-8DD720BA9C42}">
  <dimension ref="E2:E15"/>
  <sheetViews>
    <sheetView workbookViewId="0"/>
  </sheetViews>
  <sheetFormatPr defaultRowHeight="19.8"/>
  <cols>
    <col min="1" max="1" width="11" bestFit="1" customWidth="1"/>
    <col min="2" max="2" width="30.453125" bestFit="1" customWidth="1"/>
    <col min="3" max="3" width="80.90625" bestFit="1" customWidth="1"/>
    <col min="4" max="4" width="52.906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9471-B893-452C-A2E5-2BE2DE962EC8}">
  <dimension ref="E2:E20"/>
  <sheetViews>
    <sheetView workbookViewId="0"/>
  </sheetViews>
  <sheetFormatPr defaultRowHeight="19.8"/>
  <cols>
    <col min="1" max="1" width="10.81640625" bestFit="1" customWidth="1"/>
    <col min="2" max="2" width="26" bestFit="1" customWidth="1"/>
    <col min="3" max="3" width="80.81640625" bestFit="1" customWidth="1"/>
    <col min="4" max="4" width="42.8164062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4F70-3CFA-4D7D-8B4F-8DB0EC8B0E73}">
  <dimension ref="E2:E16"/>
  <sheetViews>
    <sheetView workbookViewId="0">
      <selection sqref="A1:XFD1048576"/>
    </sheetView>
  </sheetViews>
  <sheetFormatPr defaultRowHeight="19.8"/>
  <cols>
    <col min="1" max="1" width="11" bestFit="1" customWidth="1"/>
    <col min="2" max="2" width="20.6328125" bestFit="1" customWidth="1"/>
    <col min="3" max="3" width="80.90625" bestFit="1" customWidth="1"/>
    <col min="4" max="4" width="38.4531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Sheet1</vt:lpstr>
      <vt:lpstr>Sheet2</vt:lpstr>
      <vt:lpstr>テーブル 5 (33)</vt:lpstr>
      <vt:lpstr>テーブル 5 (31)</vt:lpstr>
      <vt:lpstr>テーブル 5 (29)</vt:lpstr>
      <vt:lpstr>テーブル 5 (27)</vt:lpstr>
      <vt:lpstr>テーブル 5 (25)</vt:lpstr>
      <vt:lpstr>テーブル 5 (23)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2025-01-19T08:14:55Z</dcterms:modified>
</cp:coreProperties>
</file>