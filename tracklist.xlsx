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46173262-44C8-4F40-B396-BBB32A932B8C}" xr6:coauthVersionLast="47" xr6:coauthVersionMax="47" xr10:uidLastSave="{00000000-0000-0000-0000-000000000000}"/>
  <bookViews>
    <workbookView xWindow="2880" yWindow="780" windowWidth="22830" windowHeight="14700" activeTab="1" xr2:uid="{00000000-000D-0000-FFFF-FFFF00000000}"/>
  </bookViews>
  <sheets>
    <sheet name="Sheet1" sheetId="1" r:id="rId1"/>
    <sheet name="Sheet2" sheetId="2" r:id="rId2"/>
    <sheet name="テーブル 5 (33)" sheetId="56" r:id="rId3"/>
    <sheet name="テーブル 5 (31)" sheetId="55" r:id="rId4"/>
    <sheet name="テーブル 5 (23)" sheetId="51" r:id="rId5"/>
  </sheets>
  <definedNames>
    <definedName name="ExternalData_1" localSheetId="2" hidden="1">'テーブル 5 (33)'!$A$1:$E$16</definedName>
    <definedName name="ExternalData_2" localSheetId="0" hidden="1">Sheet1!$A$1:$E$16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AF46EDD5-967D-4773-9430-2A8589D459A3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5B66E3CF-BD98-449C-A833-37F7E3F191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08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09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10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11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12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<sst xmlns="http://schemas.openxmlformats.org/spreadsheetml/2006/main" count="270" uniqueCount="44">
  <si>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</si>
  <si>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</si>
  <si>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</si>
  <si>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</si>
  <si>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</si>
  <si>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</si>
  <si>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</si>
  <si>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No.</t>
  </si>
  <si>
    <t>Dreamin'</t>
  </si>
  <si>
    <t>Lonnie Rashid Lynn, Peter Phillips, Aretha Franklin, Ernest Straughter,
                  Ray Straughter, Luther Waters</t>
  </si>
  <si>
    <t>Common / Pete Rock</t>
  </si>
  <si>
    <t>Chi-Town Do It</t>
  </si>
  <si>
    <t>Lonnie Rashid Lynn, Peter Phillips, Lauryn Hill</t>
  </si>
  <si>
    <t>This Man</t>
  </si>
  <si>
    <t>Lonnie Rashid Lynn, Peter Phillips, Loleatta Holloway</t>
  </si>
  <si>
    <t>We're on Our Way</t>
  </si>
  <si>
    <t>Lonnie Rashid Lynn, Peter Phillips, Roger Nichols, Paul Williams</t>
  </si>
  <si>
    <t>Fortunate</t>
  </si>
  <si>
    <t>Lonnie Rashid Lynn, Peter Phillips</t>
  </si>
  <si>
    <t>So Many People</t>
  </si>
  <si>
    <t>Lonnie Rashid Lynn, Peter Phillips, James Poyser</t>
  </si>
  <si>
    <t>Common / Pete Rock feat. Bilal</t>
  </si>
  <si>
    <t>Wise Up</t>
  </si>
  <si>
    <t>A God (There Is)</t>
  </si>
  <si>
    <t>Lonnie Rashid Lynn, Peter Phillips, Paris A Jones, Andrew Cooper</t>
  </si>
  <si>
    <t>Common / Pete Rock feat/ Jennifer Hudson</t>
  </si>
  <si>
    <t>Stellar</t>
  </si>
  <si>
    <t>Lonnie Rashid Lynn, Peter Phillips, Giovanni Tommaso</t>
  </si>
  <si>
    <t>Lonesome</t>
  </si>
  <si>
    <t>Lonnie Rashid Lynn, Peter Phillips, Mindy Dalton</t>
  </si>
  <si>
    <t>All Kind of Ideas</t>
  </si>
  <si>
    <t>Lonnie Rashid Lynn, Peter Phillips, Joe Wheeler</t>
  </si>
  <si>
    <t>When the Sun Shines Again</t>
  </si>
  <si>
    <t>Lonnie Rashid Lynn, Peter Phillips, Kelvin Mercer, Tuametef "TUAMIE"
                  Ani, Joe Sample</t>
  </si>
  <si>
    <t>Common / Pete Rock feat. Posdnous</t>
  </si>
  <si>
    <t>Everything's So Grand</t>
  </si>
  <si>
    <t>Lonnie Rashid Lynn, Peter Phillips, Francisco Buarque De Hollanda</t>
  </si>
  <si>
    <t>Common / Pete Rock feat. PJ</t>
  </si>
  <si>
    <t>Now and Then</t>
  </si>
  <si>
    <t>Lonnie Rashid Lynn, Peter Phillips, Jorge Amiden, Martin Luther King Jr.</t>
  </si>
  <si>
    <t>Outro</t>
  </si>
  <si>
    <t>Lonnie Rashid Lynn, Peter Phillips,</t>
  </si>
  <si>
    <t>Lonnie Rashid Lynn, Peter Phillips, Aretha Franklin, Ernest Straughter,                  Ray Straughter, Luther Waters</t>
    <phoneticPr fontId="1"/>
  </si>
  <si>
    <t>Lonnie Rashid Lynn, Peter Phillips, Kelvin Mercer, Tuametef "TUAMIE"                  Ani, Joe Sample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</si>
</sst>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6" xr16:uid="{00FDE8EC-16BD-4318-9400-27F8B5230326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5" xr16:uid="{9276ED3C-8E69-44DB-94CC-BBC679DDC7A8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2BF523-4A32-4AC6-B7E1-5F6C5FD4E8F4}" name="テーブル_5__333" displayName="テーブル_5__333" ref="A1:E16" tableType="queryTable" totalsRowShown="0">
  <autoFilter ref="A1:E16" xr:uid="{3D2BF523-4A32-4AC6-B7E1-5F6C5FD4E8F4}"/>
  <tableColumns count="5">
    <tableColumn id="1" xr3:uid="{A4E8B341-D5FC-4A1D-9B1B-DA3B81B0F327}" uniqueName="1" name="No." queryTableFieldId="1"/>
    <tableColumn id="2" xr3:uid="{A1885962-FA15-43BF-A835-D095622805FE}" uniqueName="2" name="Title" queryTableFieldId="2" dataDxfId="3"/>
    <tableColumn id="3" xr3:uid="{721E62F4-1DC8-4B86-B9E6-7CF4B817A51B}" uniqueName="3" name="Composer" queryTableFieldId="3" dataDxfId="2"/>
    <tableColumn id="4" xr3:uid="{4A76246B-BC06-468E-B06A-60028706E443}" uniqueName="4" name="Performer" queryTableFieldId="4" dataDxfId="1"/>
    <tableColumn id="5" xr3:uid="{C8AA97DA-AF4C-4AE7-A8FD-DC8CDE0AFBAD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F8BAFB-B9A7-49C2-8DCC-D129DCB8F670}" name="テーブル_5__33" displayName="テーブル_5__33" ref="A1:E16" tableType="queryTable" totalsRowShown="0">
  <autoFilter ref="A1:E16" xr:uid="{60F8BAFB-B9A7-49C2-8DCC-D129DCB8F670}"/>
  <tableColumns count="5">
    <tableColumn id="1" xr3:uid="{7495B24E-8CDA-45BD-9B30-2010951D8D7D}" uniqueName="1" name="No." queryTableFieldId="1"/>
    <tableColumn id="2" xr3:uid="{40C2AE6B-B645-4093-9C96-929C8E9AD64E}" uniqueName="2" name="Title" queryTableFieldId="2" dataDxfId="7"/>
    <tableColumn id="3" xr3:uid="{E136D58A-BBAA-4B57-9E78-9AA7D113CEE3}" uniqueName="3" name="Composer" queryTableFieldId="3" dataDxfId="6"/>
    <tableColumn id="4" xr3:uid="{C7699B5F-B4F4-4235-9687-C94A643D52F9}" uniqueName="4" name="Performer" queryTableFieldId="4" dataDxfId="5"/>
    <tableColumn id="5" xr3:uid="{26DC0326-2605-4CD7-AABE-491DA982946B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workbookViewId="0">
      <selection activeCell="C16" sqref="C16"/>
    </sheetView>
  </sheetViews>
  <sheetFormatPr defaultRowHeight="19.5"/>
  <cols>
    <col min="1" max="1" width="6.21875" bestFit="1" customWidth="1"/>
    <col min="2" max="2" width="25.5546875" bestFit="1" customWidth="1"/>
    <col min="3" max="3" width="80.88671875" bestFit="1" customWidth="1"/>
    <col min="4" max="4" width="40.5546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42</v>
      </c>
      <c r="D2" s="6" t="s">
        <v>10</v>
      </c>
      <c r="E2" s="5">
        <v>0.16666666666666666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0.18472222222222223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0.16805555555555557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0.17777777777777778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0.1763888888888889</v>
      </c>
    </row>
    <row r="7" spans="1:5">
      <c r="A7">
        <v>6</v>
      </c>
      <c r="B7" s="6" t="s">
        <v>19</v>
      </c>
      <c r="C7" s="6" t="s">
        <v>20</v>
      </c>
      <c r="D7" s="6" t="s">
        <v>21</v>
      </c>
      <c r="E7" s="5">
        <v>0.21805555555555556</v>
      </c>
    </row>
    <row r="8" spans="1:5">
      <c r="A8">
        <v>7</v>
      </c>
      <c r="B8" s="6" t="s">
        <v>22</v>
      </c>
      <c r="C8" s="6" t="s">
        <v>18</v>
      </c>
      <c r="D8" s="6" t="s">
        <v>10</v>
      </c>
      <c r="E8" s="5">
        <v>0.15763888888888888</v>
      </c>
    </row>
    <row r="9" spans="1:5">
      <c r="A9">
        <v>8</v>
      </c>
      <c r="B9" s="6" t="s">
        <v>23</v>
      </c>
      <c r="C9" s="6" t="s">
        <v>24</v>
      </c>
      <c r="D9" s="6" t="s">
        <v>25</v>
      </c>
      <c r="E9" s="5">
        <v>0.15763888888888888</v>
      </c>
    </row>
    <row r="10" spans="1:5">
      <c r="A10">
        <v>9</v>
      </c>
      <c r="B10" s="6" t="s">
        <v>26</v>
      </c>
      <c r="C10" s="6" t="s">
        <v>27</v>
      </c>
      <c r="D10" s="6" t="s">
        <v>10</v>
      </c>
      <c r="E10" s="5">
        <v>0.18263888888888888</v>
      </c>
    </row>
    <row r="11" spans="1:5">
      <c r="A11">
        <v>10</v>
      </c>
      <c r="B11" s="6" t="s">
        <v>28</v>
      </c>
      <c r="C11" s="6" t="s">
        <v>29</v>
      </c>
      <c r="D11" s="6" t="s">
        <v>10</v>
      </c>
      <c r="E11" s="5">
        <v>0.19166666666666668</v>
      </c>
    </row>
    <row r="12" spans="1:5">
      <c r="A12">
        <v>11</v>
      </c>
      <c r="B12" s="6" t="s">
        <v>30</v>
      </c>
      <c r="C12" s="6" t="s">
        <v>31</v>
      </c>
      <c r="D12" s="6" t="s">
        <v>10</v>
      </c>
      <c r="E12" s="5">
        <v>0.15833333333333333</v>
      </c>
    </row>
    <row r="13" spans="1:5">
      <c r="A13">
        <v>12</v>
      </c>
      <c r="B13" s="6" t="s">
        <v>32</v>
      </c>
      <c r="C13" s="6" t="s">
        <v>43</v>
      </c>
      <c r="D13" s="6" t="s">
        <v>34</v>
      </c>
      <c r="E13" s="5">
        <v>0.19791666666666666</v>
      </c>
    </row>
    <row r="14" spans="1:5">
      <c r="A14">
        <v>13</v>
      </c>
      <c r="B14" s="6" t="s">
        <v>35</v>
      </c>
      <c r="C14" s="6" t="s">
        <v>36</v>
      </c>
      <c r="D14" s="6" t="s">
        <v>37</v>
      </c>
      <c r="E14" s="5">
        <v>0.25277777777777777</v>
      </c>
    </row>
    <row r="15" spans="1:5">
      <c r="A15">
        <v>14</v>
      </c>
      <c r="B15" s="6" t="s">
        <v>38</v>
      </c>
      <c r="C15" s="6" t="s">
        <v>39</v>
      </c>
      <c r="D15" s="6" t="s">
        <v>10</v>
      </c>
      <c r="E15" s="5">
        <v>0.1875</v>
      </c>
    </row>
    <row r="16" spans="1:5">
      <c r="A16">
        <v>15</v>
      </c>
      <c r="B16" s="6" t="s">
        <v>40</v>
      </c>
      <c r="C16" s="6" t="s">
        <v>41</v>
      </c>
      <c r="D16" s="6" t="s">
        <v>10</v>
      </c>
      <c r="E16" s="5">
        <v>3.8194444444444448E-2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3" sqref="A3:K19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25</v>
      </c>
      <c r="F2" s="1">
        <f t="array" ref="F2">MAX(LENB(Sheet1!C1:'Sheet1'!C30))</f>
        <v>118</v>
      </c>
      <c r="H2" s="1">
        <f t="array" ref="H2">MAX(LENB(Sheet1!D1:'Sheet1'!D30))</f>
        <v>40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Dreamin'                 </v>
      </c>
      <c r="E5" s="3" t="s">
        <v>0</v>
      </c>
      <c r="F5" t="str">
        <f>" "&amp;LEFTB(Sheet1!C2&amp;REPT(" ",$F$2),$F$2)</f>
        <v xml:space="preserve"> Lonnie Rashid Lynn, Peter Phillips, Aretha Franklin, Ernest Straughter,                  Ray Straughter, Luther Waters</v>
      </c>
      <c r="G5" s="3" t="s">
        <v>0</v>
      </c>
      <c r="H5" t="str">
        <f>LEFTB(Sheet1!D2&amp;REPT(" ",$H$2),$H$2)</f>
        <v xml:space="preserve">Common / Pete Rock                      </v>
      </c>
      <c r="I5" s="3" t="s">
        <v>0</v>
      </c>
      <c r="J5" s="2" t="str">
        <f>TEXT(Sheet1!E2,"HH:MM")&amp;" "</f>
        <v xml:space="preserve">04:00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Chi-Town Do It           </v>
      </c>
      <c r="E6" s="3" t="s">
        <v>0</v>
      </c>
      <c r="F6" t="str">
        <f>" "&amp;LEFTB(Sheet1!C3&amp;REPT(" ",$F$2),$F$2)</f>
        <v xml:space="preserve"> Lonnie Rashid Lynn, Peter Phillips, Lauryn Hill                                                                       </v>
      </c>
      <c r="G6" s="3" t="s">
        <v>0</v>
      </c>
      <c r="H6" t="str">
        <f>LEFTB(Sheet1!D3&amp;REPT(" ",$H$2),$H$2)</f>
        <v xml:space="preserve">Common / Pete Rock                      </v>
      </c>
      <c r="I6" s="3" t="s">
        <v>0</v>
      </c>
      <c r="J6" s="2" t="str">
        <f>TEXT(Sheet1!E3,"HH:MM")&amp;" "</f>
        <v xml:space="preserve">04:26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This Man                 </v>
      </c>
      <c r="E7" s="3" t="s">
        <v>0</v>
      </c>
      <c r="F7" t="str">
        <f>" "&amp;LEFTB(Sheet1!C4&amp;REPT(" ",$F$2),$F$2)</f>
        <v xml:space="preserve"> Lonnie Rashid Lynn, Peter Phillips, Loleatta Holloway                                                                 </v>
      </c>
      <c r="G7" s="3" t="s">
        <v>0</v>
      </c>
      <c r="H7" t="str">
        <f>LEFTB(Sheet1!D4&amp;REPT(" ",$H$2),$H$2)</f>
        <v xml:space="preserve">Common / Pete Rock                      </v>
      </c>
      <c r="I7" s="3" t="s">
        <v>0</v>
      </c>
      <c r="J7" s="2" t="str">
        <f>TEXT(Sheet1!E4,"HH:MM")&amp;" "</f>
        <v xml:space="preserve">04:02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We're on Our Way         </v>
      </c>
      <c r="E8" s="3" t="s">
        <v>0</v>
      </c>
      <c r="F8" t="str">
        <f>" "&amp;LEFTB(Sheet1!C5&amp;REPT(" ",$F$2),$F$2)</f>
        <v xml:space="preserve"> Lonnie Rashid Lynn, Peter Phillips, Roger Nichols, Paul Williams                                                      </v>
      </c>
      <c r="G8" s="3" t="s">
        <v>0</v>
      </c>
      <c r="H8" t="str">
        <f>LEFTB(Sheet1!D5&amp;REPT(" ",$H$2),$H$2)</f>
        <v xml:space="preserve">Common / Pete Rock                      </v>
      </c>
      <c r="I8" s="3" t="s">
        <v>0</v>
      </c>
      <c r="J8" s="2" t="str">
        <f>TEXT(Sheet1!E5,"HH:MM")&amp;" "</f>
        <v xml:space="preserve">04:16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Fortunate                </v>
      </c>
      <c r="E9" s="3" t="s">
        <v>0</v>
      </c>
      <c r="F9" t="str">
        <f>" "&amp;LEFTB(Sheet1!C6&amp;REPT(" ",$F$2),$F$2)</f>
        <v xml:space="preserve"> Lonnie Rashid Lynn, Peter Phillips                                                                                    </v>
      </c>
      <c r="G9" s="3" t="s">
        <v>0</v>
      </c>
      <c r="H9" t="str">
        <f>LEFTB(Sheet1!D6&amp;REPT(" ",$H$2),$H$2)</f>
        <v xml:space="preserve">Common / Pete Rock                      </v>
      </c>
      <c r="I9" s="3" t="s">
        <v>0</v>
      </c>
      <c r="J9" s="2" t="str">
        <f>TEXT(Sheet1!E6,"HH:MM")&amp;" "</f>
        <v xml:space="preserve">04:14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So Many People           </v>
      </c>
      <c r="E10" s="3" t="s">
        <v>0</v>
      </c>
      <c r="F10" t="str">
        <f>" "&amp;LEFTB(Sheet1!C7&amp;REPT(" ",$F$2),$F$2)</f>
        <v xml:space="preserve"> Lonnie Rashid Lynn, Peter Phillips, James Poyser                                                                      </v>
      </c>
      <c r="G10" s="3" t="s">
        <v>0</v>
      </c>
      <c r="H10" t="str">
        <f>LEFTB(Sheet1!D7&amp;REPT(" ",$H$2),$H$2)</f>
        <v xml:space="preserve">Common / Pete Rock feat. Bilal          </v>
      </c>
      <c r="I10" s="3" t="s">
        <v>0</v>
      </c>
      <c r="J10" s="2" t="str">
        <f>TEXT(Sheet1!E7,"HH:MM")&amp;" "</f>
        <v xml:space="preserve">05:14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Wise Up                  </v>
      </c>
      <c r="E11" s="3" t="s">
        <v>0</v>
      </c>
      <c r="F11" t="str">
        <f>" "&amp;LEFTB(Sheet1!C8&amp;REPT(" ",$F$2),$F$2)</f>
        <v xml:space="preserve"> Lonnie Rashid Lynn, Peter Phillips                                                                                    </v>
      </c>
      <c r="G11" s="3" t="s">
        <v>0</v>
      </c>
      <c r="H11" t="str">
        <f>LEFTB(Sheet1!D8&amp;REPT(" ",$H$2),$H$2)</f>
        <v xml:space="preserve">Common / Pete Rock                      </v>
      </c>
      <c r="I11" s="3" t="s">
        <v>0</v>
      </c>
      <c r="J11" s="2" t="str">
        <f>TEXT(Sheet1!E8,"HH:MM")&amp;" "</f>
        <v xml:space="preserve">03:47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A God (There Is)         </v>
      </c>
      <c r="E12" s="3" t="s">
        <v>0</v>
      </c>
      <c r="F12" t="str">
        <f>" "&amp;LEFTB(Sheet1!C9&amp;REPT(" ",$F$2),$F$2)</f>
        <v xml:space="preserve"> Lonnie Rashid Lynn, Peter Phillips, Paris A Jones, Andrew Cooper                                                      </v>
      </c>
      <c r="G12" s="3" t="s">
        <v>0</v>
      </c>
      <c r="H12" t="str">
        <f>LEFTB(Sheet1!D9&amp;REPT(" ",$H$2),$H$2)</f>
        <v>Common / Pete Rock feat/ Jennifer Hudson</v>
      </c>
      <c r="I12" s="3" t="s">
        <v>0</v>
      </c>
      <c r="J12" s="2" t="str">
        <f>TEXT(Sheet1!E9,"HH:MM")&amp;" "</f>
        <v xml:space="preserve">03:47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Stellar                  </v>
      </c>
      <c r="E13" s="3" t="s">
        <v>0</v>
      </c>
      <c r="F13" t="str">
        <f>" "&amp;LEFTB(Sheet1!C10&amp;REPT(" ",$F$2),$F$2)</f>
        <v xml:space="preserve"> Lonnie Rashid Lynn, Peter Phillips, Giovanni Tommaso                                                                  </v>
      </c>
      <c r="G13" s="3" t="s">
        <v>0</v>
      </c>
      <c r="H13" t="str">
        <f>LEFTB(Sheet1!D10&amp;REPT(" ",$H$2),$H$2)</f>
        <v xml:space="preserve">Common / Pete Rock                      </v>
      </c>
      <c r="I13" s="3" t="s">
        <v>0</v>
      </c>
      <c r="J13" s="2" t="str">
        <f>TEXT(Sheet1!E10,"HH:MM")&amp;" "</f>
        <v xml:space="preserve">04:23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Lonesome                 </v>
      </c>
      <c r="E14" s="3" t="s">
        <v>0</v>
      </c>
      <c r="F14" t="str">
        <f>" "&amp;LEFTB(Sheet1!C11&amp;REPT(" ",$F$2),$F$2)</f>
        <v xml:space="preserve"> Lonnie Rashid Lynn, Peter Phillips, Mindy Dalton                                                                      </v>
      </c>
      <c r="G14" s="3" t="s">
        <v>0</v>
      </c>
      <c r="H14" t="str">
        <f>LEFTB(Sheet1!D11&amp;REPT(" ",$H$2),$H$2)</f>
        <v xml:space="preserve">Common / Pete Rock                      </v>
      </c>
      <c r="I14" s="3" t="s">
        <v>0</v>
      </c>
      <c r="J14" s="2" t="str">
        <f>TEXT(Sheet1!E11,"HH:MM")&amp;" "</f>
        <v xml:space="preserve">04:36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All Kind of Ideas        </v>
      </c>
      <c r="E15" s="3" t="s">
        <v>0</v>
      </c>
      <c r="F15" t="str">
        <f>" "&amp;LEFTB(Sheet1!C12&amp;REPT(" ",$F$2),$F$2)</f>
        <v xml:space="preserve"> Lonnie Rashid Lynn, Peter Phillips, Joe Wheeler                                                                       </v>
      </c>
      <c r="G15" s="3" t="s">
        <v>0</v>
      </c>
      <c r="H15" t="str">
        <f>LEFTB(Sheet1!D12&amp;REPT(" ",$H$2),$H$2)</f>
        <v xml:space="preserve">Common / Pete Rock                      </v>
      </c>
      <c r="I15" s="3" t="s">
        <v>0</v>
      </c>
      <c r="J15" s="2" t="str">
        <f>TEXT(Sheet1!E12,"HH:MM")&amp;" "</f>
        <v xml:space="preserve">03:48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>When the Sun Shines Again</v>
      </c>
      <c r="E16" s="3" t="s">
        <v>0</v>
      </c>
      <c r="F16" t="str">
        <f>" "&amp;LEFTB(Sheet1!C13&amp;REPT(" ",$F$2),$F$2)</f>
        <v xml:space="preserve"> Lonnie Rashid Lynn, Peter Phillips, Kelvin Mercer, Tuametef "TUAMIE"                  Ani, Joe Sample                 </v>
      </c>
      <c r="G16" s="3" t="s">
        <v>0</v>
      </c>
      <c r="H16" t="str">
        <f>LEFTB(Sheet1!D13&amp;REPT(" ",$H$2),$H$2)</f>
        <v xml:space="preserve">Common / Pete Rock feat. Posdnous       </v>
      </c>
      <c r="I16" s="3" t="s">
        <v>0</v>
      </c>
      <c r="J16" s="2" t="str">
        <f>TEXT(Sheet1!E13,"HH:MM")&amp;" "</f>
        <v xml:space="preserve">04:45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Everything's So Grand    </v>
      </c>
      <c r="E17" s="3" t="s">
        <v>0</v>
      </c>
      <c r="F17" t="str">
        <f>" "&amp;LEFTB(Sheet1!C14&amp;REPT(" ",$F$2),$F$2)</f>
        <v xml:space="preserve"> Lonnie Rashid Lynn, Peter Phillips, Francisco Buarque De Hollanda                                                     </v>
      </c>
      <c r="G17" s="3" t="s">
        <v>0</v>
      </c>
      <c r="H17" t="str">
        <f>LEFTB(Sheet1!D14&amp;REPT(" ",$H$2),$H$2)</f>
        <v xml:space="preserve">Common / Pete Rock feat. PJ             </v>
      </c>
      <c r="I17" s="3" t="s">
        <v>0</v>
      </c>
      <c r="J17" s="2" t="str">
        <f>TEXT(Sheet1!E14,"HH:MM")&amp;" "</f>
        <v xml:space="preserve">06:04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Now and Then             </v>
      </c>
      <c r="E18" s="3" t="s">
        <v>0</v>
      </c>
      <c r="F18" t="str">
        <f>" "&amp;LEFTB(Sheet1!C15&amp;REPT(" ",$F$2),$F$2)</f>
        <v xml:space="preserve"> Lonnie Rashid Lynn, Peter Phillips, Jorge Amiden, Martin Luther King Jr.                                              </v>
      </c>
      <c r="G18" s="3" t="s">
        <v>0</v>
      </c>
      <c r="H18" t="str">
        <f>LEFTB(Sheet1!D15&amp;REPT(" ",$H$2),$H$2)</f>
        <v xml:space="preserve">Common / Pete Rock                      </v>
      </c>
      <c r="I18" s="3" t="s">
        <v>0</v>
      </c>
      <c r="J18" s="2" t="str">
        <f>TEXT(Sheet1!E15,"HH:MM")&amp;" "</f>
        <v xml:space="preserve">04:30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Outro                    </v>
      </c>
      <c r="E19" s="3" t="s">
        <v>0</v>
      </c>
      <c r="F19" t="str">
        <f>" "&amp;LEFTB(Sheet1!C16&amp;REPT(" ",$F$2),$F$2)</f>
        <v xml:space="preserve"> Lonnie Rashid Lynn, Peter Phillips,                                                                                   </v>
      </c>
      <c r="G19" s="3" t="s">
        <v>0</v>
      </c>
      <c r="H19" t="str">
        <f>LEFTB(Sheet1!D16&amp;REPT(" ",$H$2),$H$2)</f>
        <v xml:space="preserve">Common / Pete Rock                      </v>
      </c>
      <c r="I19" s="3" t="s">
        <v>0</v>
      </c>
      <c r="J19" s="2" t="str">
        <f>TEXT(Sheet1!E16,"HH:MM")&amp;" "</f>
        <v xml:space="preserve">00:55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4D5D-2AC8-49F9-8F75-A54D354EC0C5}">
  <dimension ref="A1:E16"/>
  <sheetViews>
    <sheetView workbookViewId="0">
      <selection sqref="A1:XFD1048576"/>
    </sheetView>
  </sheetViews>
  <sheetFormatPr defaultRowHeight="19.5"/>
  <cols>
    <col min="1" max="1" width="6.21875" bestFit="1" customWidth="1"/>
    <col min="2" max="2" width="25.5546875" bestFit="1" customWidth="1"/>
    <col min="3" max="3" width="80.88671875" bestFit="1" customWidth="1"/>
    <col min="4" max="4" width="40.5546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0.16666666666666666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0.18472222222222223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0.16805555555555557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0.17777777777777778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0.1763888888888889</v>
      </c>
    </row>
    <row r="7" spans="1:5">
      <c r="A7">
        <v>6</v>
      </c>
      <c r="B7" s="6" t="s">
        <v>19</v>
      </c>
      <c r="C7" s="6" t="s">
        <v>20</v>
      </c>
      <c r="D7" s="6" t="s">
        <v>21</v>
      </c>
      <c r="E7" s="5">
        <v>0.21805555555555556</v>
      </c>
    </row>
    <row r="8" spans="1:5">
      <c r="A8">
        <v>7</v>
      </c>
      <c r="B8" s="6" t="s">
        <v>22</v>
      </c>
      <c r="C8" s="6" t="s">
        <v>18</v>
      </c>
      <c r="D8" s="6" t="s">
        <v>10</v>
      </c>
      <c r="E8" s="5">
        <v>0.15763888888888888</v>
      </c>
    </row>
    <row r="9" spans="1:5">
      <c r="A9">
        <v>8</v>
      </c>
      <c r="B9" s="6" t="s">
        <v>23</v>
      </c>
      <c r="C9" s="6" t="s">
        <v>24</v>
      </c>
      <c r="D9" s="6" t="s">
        <v>25</v>
      </c>
      <c r="E9" s="5">
        <v>0.15763888888888888</v>
      </c>
    </row>
    <row r="10" spans="1:5">
      <c r="A10">
        <v>9</v>
      </c>
      <c r="B10" s="6" t="s">
        <v>26</v>
      </c>
      <c r="C10" s="6" t="s">
        <v>27</v>
      </c>
      <c r="D10" s="6" t="s">
        <v>10</v>
      </c>
      <c r="E10" s="5">
        <v>0.18263888888888888</v>
      </c>
    </row>
    <row r="11" spans="1:5">
      <c r="A11">
        <v>10</v>
      </c>
      <c r="B11" s="6" t="s">
        <v>28</v>
      </c>
      <c r="C11" s="6" t="s">
        <v>29</v>
      </c>
      <c r="D11" s="6" t="s">
        <v>10</v>
      </c>
      <c r="E11" s="5">
        <v>0.19166666666666668</v>
      </c>
    </row>
    <row r="12" spans="1:5">
      <c r="A12">
        <v>11</v>
      </c>
      <c r="B12" s="6" t="s">
        <v>30</v>
      </c>
      <c r="C12" s="6" t="s">
        <v>31</v>
      </c>
      <c r="D12" s="6" t="s">
        <v>10</v>
      </c>
      <c r="E12" s="5">
        <v>0.15833333333333333</v>
      </c>
    </row>
    <row r="13" spans="1:5">
      <c r="A13">
        <v>12</v>
      </c>
      <c r="B13" s="6" t="s">
        <v>32</v>
      </c>
      <c r="C13" s="6" t="s">
        <v>33</v>
      </c>
      <c r="D13" s="6" t="s">
        <v>34</v>
      </c>
      <c r="E13" s="5">
        <v>0.19791666666666666</v>
      </c>
    </row>
    <row r="14" spans="1:5">
      <c r="A14">
        <v>13</v>
      </c>
      <c r="B14" s="6" t="s">
        <v>35</v>
      </c>
      <c r="C14" s="6" t="s">
        <v>36</v>
      </c>
      <c r="D14" s="6" t="s">
        <v>37</v>
      </c>
      <c r="E14" s="5">
        <v>0.25277777777777777</v>
      </c>
    </row>
    <row r="15" spans="1:5">
      <c r="A15">
        <v>14</v>
      </c>
      <c r="B15" s="6" t="s">
        <v>38</v>
      </c>
      <c r="C15" s="6" t="s">
        <v>39</v>
      </c>
      <c r="D15" s="6" t="s">
        <v>10</v>
      </c>
      <c r="E15" s="5">
        <v>0.1875</v>
      </c>
    </row>
    <row r="16" spans="1:5">
      <c r="A16">
        <v>15</v>
      </c>
      <c r="B16" s="6" t="s">
        <v>40</v>
      </c>
      <c r="C16" s="6" t="s">
        <v>41</v>
      </c>
      <c r="D16" s="6" t="s">
        <v>10</v>
      </c>
      <c r="E16" s="5">
        <v>3.8194444444444448E-2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4C9B3-9D7B-41BE-8DBF-B7E973EBDA5D}">
  <dimension ref="E2:E20"/>
  <sheetViews>
    <sheetView workbookViewId="0"/>
  </sheetViews>
  <sheetFormatPr defaultRowHeight="19.5"/>
  <cols>
    <col min="1" max="1" width="10.77734375" bestFit="1" customWidth="1"/>
    <col min="2" max="2" width="30.5546875" bestFit="1" customWidth="1"/>
    <col min="3" max="3" width="44.21875" bestFit="1" customWidth="1"/>
    <col min="4" max="4" width="21.4414062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  <row r="20" spans="5:5">
      <c r="E20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4F70-3CFA-4D7D-8B4F-8DB0EC8B0E73}">
  <dimension ref="E2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20.6640625" bestFit="1" customWidth="1"/>
    <col min="3" max="3" width="80.88671875" bestFit="1" customWidth="1"/>
    <col min="4" max="4" width="38.4414062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(33)</vt:lpstr>
      <vt:lpstr>テーブル 5 (31)</vt:lpstr>
      <vt:lpstr>テーブル 5 (23)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2025-01-25T11:59:28Z</dcterms:modified>
</cp:coreProperties>
</file>