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E0F4138D-8D50-4491-9BCD-69D41321DB85}" xr6:coauthVersionLast="47" xr6:coauthVersionMax="47" xr10:uidLastSave="{00000000-0000-0000-0000-000000000000}"/>
  <bookViews>
    <workbookView xWindow="1275" yWindow="1170" windowWidth="23895" windowHeight="14310" activeTab="1" xr2:uid="{00000000-000D-0000-FFFF-FFFF00000000}"/>
  </bookViews>
  <sheets>
    <sheet name="Sheet1" sheetId="1" r:id="rId1"/>
    <sheet name="Sheet2" sheetId="2" r:id="rId2"/>
    <sheet name="テーブル 5 (61)" sheetId="70" r:id="rId3"/>
    <sheet name="テーブル 5 (59)" sheetId="69" r:id="rId4"/>
    <sheet name="テーブル 5 (57)" sheetId="68" r:id="rId5"/>
    <sheet name="テーブル 5 (55)" sheetId="67" r:id="rId6"/>
  </sheets>
  <definedNames>
    <definedName name="ExternalData_1" localSheetId="2" hidden="1">'テーブル 5 (61)'!$A$1:$E$12</definedName>
    <definedName name="ExternalData_2" localSheetId="0" hidden="1">Sheet1!$A$1:$E$12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54F7DB3E-2D10-46A8-8605-A4B5CD9147C4}" keepAlive="1" name="クエリ - テーブル 5 (39)" description="ブック内の 'テーブル 5 (39)' クエリへの接続です。" type="5" refreshedVersion="8" background="1" saveData="1">
    <dbPr connection="Provider=Microsoft.Mashup.OleDb.1;Data Source=$Workbook$;Location=&quot;テーブル 5 (39)&quot;;Extended Properties=&quot;&quot;" command="SELECT * FROM [テーブル 5 (39)]"/>
  </connection>
  <connection id="11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3" xr16:uid="{66B53B4B-1358-4775-94DB-3F8C8717C271}" keepAlive="1" name="クエリ - テーブル 5 (40)" description="ブック内の 'テーブル 5 (40)' クエリへの接続です。" type="5" refreshedVersion="8" background="1" saveData="1">
    <dbPr connection="Provider=Microsoft.Mashup.OleDb.1;Data Source=$Workbook$;Location=&quot;テーブル 5 (40)&quot;;Extended Properties=&quot;&quot;" command="SELECT * FROM [テーブル 5 (40)]"/>
  </connection>
  <connection id="114" xr16:uid="{FE8A8A31-47AF-45A0-8FCC-B8275FB8CD7A}" keepAlive="1" name="クエリ - テーブル 5 (41)" description="ブック内の 'テーブル 5 (41)' クエリへの接続です。" type="5" refreshedVersion="8" background="1" saveData="1">
    <dbPr connection="Provider=Microsoft.Mashup.OleDb.1;Data Source=$Workbook$;Location=&quot;テーブル 5 (41)&quot;;Extended Properties=&quot;&quot;" command="SELECT * FROM [テーブル 5 (41)]"/>
  </connection>
  <connection id="115" xr16:uid="{579514D7-861A-4725-94F9-BF6706ACBB0F}" keepAlive="1" name="クエリ - テーブル 5 (42)" description="ブック内の 'テーブル 5 (42)' クエリへの接続です。" type="5" refreshedVersion="8" background="1" saveData="1">
    <dbPr connection="Provider=Microsoft.Mashup.OleDb.1;Data Source=$Workbook$;Location=&quot;テーブル 5 (42)&quot;;Extended Properties=&quot;&quot;" command="SELECT * FROM [テーブル 5 (42)]"/>
  </connection>
  <connection id="116" xr16:uid="{80502BDE-E486-474D-BEE2-A2BC8D82A4E5}" keepAlive="1" name="クエリ - テーブル 5 (43)" description="ブック内の 'テーブル 5 (43)' クエリへの接続です。" type="5" refreshedVersion="8" background="1" saveData="1">
    <dbPr connection="Provider=Microsoft.Mashup.OleDb.1;Data Source=$Workbook$;Location=&quot;テーブル 5 (43)&quot;;Extended Properties=&quot;&quot;" command="SELECT * FROM [テーブル 5 (43)]"/>
  </connection>
  <connection id="117" xr16:uid="{615EFAC7-08F8-41A8-9E2C-4F8FD8C0B0AF}" keepAlive="1" name="クエリ - テーブル 5 (44)" description="ブック内の 'テーブル 5 (44)' クエリへの接続です。" type="5" refreshedVersion="8" background="1" saveData="1">
    <dbPr connection="Provider=Microsoft.Mashup.OleDb.1;Data Source=$Workbook$;Location=&quot;テーブル 5 (44)&quot;;Extended Properties=&quot;&quot;" command="SELECT * FROM [テーブル 5 (44)]"/>
  </connection>
  <connection id="118" xr16:uid="{C305C6DD-5798-4EBD-ADC8-19F8BBA3606D}" keepAlive="1" name="クエリ - テーブル 5 (45)" description="ブック内の 'テーブル 5 (45)' クエリへの接続です。" type="5" refreshedVersion="8" background="1" saveData="1">
    <dbPr connection="Provider=Microsoft.Mashup.OleDb.1;Data Source=$Workbook$;Location=&quot;テーブル 5 (45)&quot;;Extended Properties=&quot;&quot;" command="SELECT * FROM [テーブル 5 (45)]"/>
  </connection>
  <connection id="119" xr16:uid="{3EA631AC-DB01-4DE1-B8E4-8686CE119F6A}" keepAlive="1" name="クエリ - テーブル 5 (46)" description="ブック内の 'テーブル 5 (46)' クエリへの接続です。" type="5" refreshedVersion="8" background="1" saveData="1">
    <dbPr connection="Provider=Microsoft.Mashup.OleDb.1;Data Source=$Workbook$;Location=&quot;テーブル 5 (46)&quot;;Extended Properties=&quot;&quot;" command="SELECT * FROM [テーブル 5 (46)]"/>
  </connection>
  <connection id="120" xr16:uid="{403A85BB-91A5-4963-86C4-BBAB4A28E850}" keepAlive="1" name="クエリ - テーブル 5 (47)" description="ブック内の 'テーブル 5 (47)' クエリへの接続です。" type="5" refreshedVersion="0" background="1">
    <dbPr connection="Provider=Microsoft.Mashup.OleDb.1;Data Source=$Workbook$;Location=&quot;テーブル 5 (47)&quot;;Extended Properties=&quot;&quot;" command="SELECT * FROM [テーブル 5 (47)]"/>
  </connection>
  <connection id="121" xr16:uid="{660E220E-6A38-44EC-B3D0-DA719B2A5AF3}" keepAlive="1" name="クエリ - テーブル 5 (48)" description="ブック内の 'テーブル 5 (48)' クエリへの接続です。" type="5" refreshedVersion="8" background="1" saveData="1">
    <dbPr connection="Provider=Microsoft.Mashup.OleDb.1;Data Source=$Workbook$;Location=&quot;テーブル 5 (48)&quot;;Extended Properties=&quot;&quot;" command="SELECT * FROM [テーブル 5 (48)]"/>
  </connection>
  <connection id="122" xr16:uid="{50DE3435-8F9C-439D-931F-32CDFE206BCB}" keepAlive="1" name="クエリ - テーブル 5 (49)" description="ブック内の 'テーブル 5 (49)' クエリへの接続です。" type="5" refreshedVersion="8" background="1" saveData="1">
    <dbPr connection="Provider=Microsoft.Mashup.OleDb.1;Data Source=$Workbook$;Location=&quot;テーブル 5 (49)&quot;;Extended Properties=&quot;&quot;" command="SELECT * FROM [テーブル 5 (49)]"/>
  </connection>
  <connection id="123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24" xr16:uid="{51680A69-E4C1-4A39-85B7-EFEAFFC9466F}" keepAlive="1" name="クエリ - テーブル 5 (50)" description="ブック内の 'テーブル 5 (50)' クエリへの接続です。" type="5" refreshedVersion="8" background="1" saveData="1">
    <dbPr connection="Provider=Microsoft.Mashup.OleDb.1;Data Source=$Workbook$;Location=&quot;テーブル 5 (50)&quot;;Extended Properties=&quot;&quot;" command="SELECT * FROM [テーブル 5 (50)]"/>
  </connection>
  <connection id="125" xr16:uid="{1D050FEF-9BC3-400B-ABE4-5025A2E1FD88}" keepAlive="1" name="クエリ - テーブル 5 (51)" description="ブック内の 'テーブル 5 (51)' クエリへの接続です。" type="5" refreshedVersion="0" background="1">
    <dbPr connection="Provider=Microsoft.Mashup.OleDb.1;Data Source=$Workbook$;Location=&quot;テーブル 5 (51)&quot;;Extended Properties=&quot;&quot;" command="SELECT * FROM [テーブル 5 (51)]"/>
  </connection>
  <connection id="126" xr16:uid="{04E1DE2C-0F8B-4AA2-B40B-1A5D370B5011}" keepAlive="1" name="クエリ - テーブル 5 (52)" description="ブック内の 'テーブル 5 (52)' クエリへの接続です。" type="5" refreshedVersion="8" background="1" saveData="1">
    <dbPr connection="Provider=Microsoft.Mashup.OleDb.1;Data Source=$Workbook$;Location=&quot;テーブル 5 (52)&quot;;Extended Properties=&quot;&quot;" command="SELECT * FROM [テーブル 5 (52)]"/>
  </connection>
  <connection id="127" xr16:uid="{7A11FE41-E253-43BC-8A00-1C400CA377D1}" keepAlive="1" name="クエリ - テーブル 5 (53)" description="ブック内の 'テーブル 5 (53)' クエリへの接続です。" type="5" refreshedVersion="8" background="1" saveData="1">
    <dbPr connection="Provider=Microsoft.Mashup.OleDb.1;Data Source=$Workbook$;Location=&quot;テーブル 5 (53)&quot;;Extended Properties=&quot;&quot;" command="SELECT * FROM [テーブル 5 (53)]"/>
  </connection>
  <connection id="128" xr16:uid="{5EC92980-5492-4A89-A4A8-9801BC14492C}" keepAlive="1" name="クエリ - テーブル 5 (54)" description="ブック内の 'テーブル 5 (54)' クエリへの接続です。" type="5" refreshedVersion="8" background="1" saveData="1">
    <dbPr connection="Provider=Microsoft.Mashup.OleDb.1;Data Source=$Workbook$;Location=&quot;テーブル 5 (54)&quot;;Extended Properties=&quot;&quot;" command="SELECT * FROM [テーブル 5 (54)]"/>
  </connection>
  <connection id="129" xr16:uid="{4D402CCC-83C9-406F-8C34-4F775E1168DA}" keepAlive="1" name="クエリ - テーブル 5 (55)" description="ブック内の 'テーブル 5 (55)' クエリへの接続です。" type="5" refreshedVersion="8" background="1" saveData="1">
    <dbPr connection="Provider=Microsoft.Mashup.OleDb.1;Data Source=$Workbook$;Location=&quot;テーブル 5 (55)&quot;;Extended Properties=&quot;&quot;" command="SELECT * FROM [テーブル 5 (55)]"/>
  </connection>
  <connection id="130" xr16:uid="{A783859C-FF36-4DD0-8551-D4BB737E4F61}" keepAlive="1" name="クエリ - テーブル 5 (56)" description="ブック内の 'テーブル 5 (56)' クエリへの接続です。" type="5" refreshedVersion="8" background="1" saveData="1">
    <dbPr connection="Provider=Microsoft.Mashup.OleDb.1;Data Source=$Workbook$;Location=&quot;テーブル 5 (56)&quot;;Extended Properties=&quot;&quot;" command="SELECT * FROM [テーブル 5 (56)]"/>
  </connection>
  <connection id="131" xr16:uid="{15E76B00-9305-4741-A2AB-01B6330EAAF2}" keepAlive="1" name="クエリ - テーブル 5 (57)" description="ブック内の 'テーブル 5 (57)' クエリへの接続です。" type="5" refreshedVersion="8" background="1" saveData="1">
    <dbPr connection="Provider=Microsoft.Mashup.OleDb.1;Data Source=$Workbook$;Location=&quot;テーブル 5 (57)&quot;;Extended Properties=&quot;&quot;" command="SELECT * FROM [テーブル 5 (57)]"/>
  </connection>
  <connection id="132" xr16:uid="{F34C8D89-6520-4A3D-9DCC-92CF29A2D2A6}" keepAlive="1" name="クエリ - テーブル 5 (58)" description="ブック内の 'テーブル 5 (58)' クエリへの接続です。" type="5" refreshedVersion="8" background="1" saveData="1">
    <dbPr connection="Provider=Microsoft.Mashup.OleDb.1;Data Source=$Workbook$;Location=&quot;テーブル 5 (58)&quot;;Extended Properties=&quot;&quot;" command="SELECT * FROM [テーブル 5 (58)]"/>
  </connection>
  <connection id="133" xr16:uid="{8E94A45C-00CE-41E1-BC77-0B7DBAC9B2C2}" keepAlive="1" name="クエリ - テーブル 5 (59)" description="ブック内の 'テーブル 5 (59)' クエリへの接続です。" type="5" refreshedVersion="8" background="1" saveData="1">
    <dbPr connection="Provider=Microsoft.Mashup.OleDb.1;Data Source=$Workbook$;Location=&quot;テーブル 5 (59)&quot;;Extended Properties=&quot;&quot;" command="SELECT * FROM [テーブル 5 (59)]"/>
  </connection>
  <connection id="134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35" xr16:uid="{11199990-A322-46C2-A519-29F73E80E0EE}" keepAlive="1" name="クエリ - テーブル 5 (60)" description="ブック内の 'テーブル 5 (60)' クエリへの接続です。" type="5" refreshedVersion="8" background="1" saveData="1">
    <dbPr connection="Provider=Microsoft.Mashup.OleDb.1;Data Source=$Workbook$;Location=&quot;テーブル 5 (60)&quot;;Extended Properties=&quot;&quot;" command="SELECT * FROM [テーブル 5 (60)]"/>
  </connection>
  <connection id="136" xr16:uid="{F402F748-2349-414B-802D-7FDF17E1BFFA}" keepAlive="1" name="クエリ - テーブル 5 (61)" description="ブック内の 'テーブル 5 (61)' クエリへの接続です。" type="5" refreshedVersion="8" background="1" saveData="1">
    <dbPr connection="Provider=Microsoft.Mashup.OleDb.1;Data Source=$Workbook$;Location=&quot;テーブル 5 (61)&quot;;Extended Properties=&quot;&quot;" command="SELECT * FROM [テーブル 5 (61)]"/>
  </connection>
  <connection id="137" xr16:uid="{D0DF5541-C189-427F-987F-D492C0D8AF07}" keepAlive="1" name="クエリ - テーブル 5 (62)" description="ブック内の 'テーブル 5 (62)' クエリへの接続です。" type="5" refreshedVersion="8" background="1" saveData="1">
    <dbPr connection="Provider=Microsoft.Mashup.OleDb.1;Data Source=$Workbook$;Location=&quot;テーブル 5 (62)&quot;;Extended Properties=&quot;&quot;" command="SELECT * FROM [テーブル 5 (62)]"/>
  </connection>
  <connection id="138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39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40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<sst xmlns="http://schemas.openxmlformats.org/spreadsheetml/2006/main" count="246" uniqueCount="33">
  <si>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</si>
  <si>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</si>
  <si>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</si>
  <si>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</si>
  <si>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</si>
  <si>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</si>
  <si>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</si>
  <si>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</si>
  <si>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Genius</t>
  </si>
  <si>
    <t>Sarah Aarons / Ravyn Lenae / Dacoury Natche / Spencer Stewart</t>
  </si>
  <si>
    <t>Ravyn Lenae</t>
  </si>
  <si>
    <t>Bad Idea</t>
  </si>
  <si>
    <t>Sarah Aarons / Jaron Alston / Johnta Austin / Ricardo Bell / Jermaine Dupri / Ravyn Lenae / Dacoury Natche / Jason Pounds / Ralph Tresvant</t>
  </si>
  <si>
    <t>One Wish</t>
  </si>
  <si>
    <t>Sarah Aarons / Fortunato Arduini / Luiz Antonio Bizarro / Isaac de Boni / Childish Gambino / Ravyn Lenae / Michael Mule / Dacoury Natche / Ely Weisfeld / Margaux Whitney</t>
  </si>
  <si>
    <t>Ravyn Lenae feat. Childish Gambino</t>
  </si>
  <si>
    <t>Dream Girl</t>
  </si>
  <si>
    <t>Sarah Aarons / Tyrone Griffin / Jimmy Jam / Ravyn Lenae / Dacoury Natche / Spencer Stewart / Ely Weisfeld</t>
  </si>
  <si>
    <t>Ravyn Lenae feat, Ty Dolla $ign</t>
  </si>
  <si>
    <t>Candy</t>
  </si>
  <si>
    <t>Sarah Aarons / Ravyn Lenae / Dacoury Natche / Ely Weisfeld</t>
  </si>
  <si>
    <t>Love Is Blind</t>
  </si>
  <si>
    <t>Sarah Aarons / Ravyn Lenae / Dacoury Natche / Jared Solomon / Spencer Stewart</t>
  </si>
  <si>
    <t>Love Me Not</t>
  </si>
  <si>
    <t>Anderson .Paak / Sarah Aarons / Dominic Angelella / Craig Balmoris / Christian Farlow / Jaelen Irizarry / Ravyn Lenae / Dacoury Natche / Julian Nixon / Brent Reynolds / Spencer Stewart</t>
  </si>
  <si>
    <t>From Scratch</t>
  </si>
  <si>
    <t>Sarah Aarons / Yonatan Ayal / Tobias Breuer / Ravyn Lenae / Dacoury Natche / Hayley Penner / Jason Pounds / Spencer Stewart</t>
  </si>
  <si>
    <t>1 of 1</t>
  </si>
  <si>
    <t>Sarah Aarons / Steve Lacy / Ravyn Lenae / Dacoury Natche / Spencer Stewart</t>
  </si>
  <si>
    <t>Pilot</t>
  </si>
  <si>
    <t>Sarah Aarons / Ravyn Lenae / Daniel McKinnon / Dacoury Natche / Hayley Penner / Spencer Stewart / Ely Weisfeld</t>
  </si>
  <si>
    <t>Days</t>
  </si>
  <si>
    <t>Sarah Aarons / Tobias Breuer / Ravyn Lenae / Dacoury Natche / Hayley Penner / Spencer Stewart / Ely Weisfeld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</si>
</sst>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7" xr16:uid="{904C9E87-F6D7-4B86-85B0-72663CAA9F74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6" xr16:uid="{6512E4D3-6980-46E1-B3BB-E4693931D2B3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DF403C-F482-4C34-807A-AC6237E69B4A}" name="テーブル_5__613" displayName="テーブル_5__613" ref="A1:E12" tableType="queryTable" totalsRowShown="0">
  <autoFilter ref="A1:E12" xr:uid="{B1DF403C-F482-4C34-807A-AC6237E69B4A}"/>
  <tableColumns count="5">
    <tableColumn id="1" xr3:uid="{94C4C615-7DC9-41F6-930A-F097B5C726D5}" uniqueName="1" name="Column1" queryTableFieldId="1"/>
    <tableColumn id="2" xr3:uid="{B1AE379F-D2C5-417E-832B-3677E8B3BDF6}" uniqueName="2" name="Title" queryTableFieldId="2" dataDxfId="3"/>
    <tableColumn id="3" xr3:uid="{F615BC27-B687-4FDF-8A55-0BC7ACBE9EF1}" uniqueName="3" name="Composer" queryTableFieldId="3" dataDxfId="2"/>
    <tableColumn id="4" xr3:uid="{5B0F2515-98F2-491D-BD42-92597AF191CB}" uniqueName="4" name="Performer" queryTableFieldId="4" dataDxfId="1"/>
    <tableColumn id="5" xr3:uid="{03C709CF-7E55-42E5-8F91-97341C435C3F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F30A61-88A9-4D22-B1FC-F5DE977AFBA1}" name="テーブル_5__61" displayName="テーブル_5__61" ref="A1:E12" tableType="queryTable" totalsRowShown="0">
  <autoFilter ref="A1:E12" xr:uid="{46F30A61-88A9-4D22-B1FC-F5DE977AFBA1}"/>
  <tableColumns count="5">
    <tableColumn id="1" xr3:uid="{3679246C-04D7-474A-9F17-F0B5F26AA5AB}" uniqueName="1" name="Column1" queryTableFieldId="1"/>
    <tableColumn id="2" xr3:uid="{C63546BF-3144-4489-BE5A-03EE24CD2613}" uniqueName="2" name="Title" queryTableFieldId="2" dataDxfId="7"/>
    <tableColumn id="3" xr3:uid="{DC0C3F13-2BFC-4A24-A112-769403A75CE7}" uniqueName="3" name="Composer" queryTableFieldId="3" dataDxfId="6"/>
    <tableColumn id="4" xr3:uid="{C35BAD20-B853-4059-8957-3A038F6DC909}" uniqueName="4" name="Performer" queryTableFieldId="4" dataDxfId="5"/>
    <tableColumn id="5" xr3:uid="{A3FBD25F-6703-4D21-A1A3-1BC82E89051D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activeCell="A12" sqref="A12"/>
    </sheetView>
  </sheetViews>
  <sheetFormatPr defaultRowHeight="19.5"/>
  <cols>
    <col min="1" max="1" width="11" bestFit="1" customWidth="1"/>
    <col min="2" max="2" width="12.88671875" bestFit="1" customWidth="1"/>
    <col min="3" max="3" width="80.88671875" bestFit="1" customWidth="1"/>
    <col min="4" max="4" width="33.5546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0.1076388888888889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9.3055555555555558E-2</v>
      </c>
    </row>
    <row r="4" spans="1:5">
      <c r="A4">
        <v>3</v>
      </c>
      <c r="B4" s="6" t="s">
        <v>13</v>
      </c>
      <c r="C4" s="6" t="s">
        <v>14</v>
      </c>
      <c r="D4" s="6" t="s">
        <v>15</v>
      </c>
      <c r="E4" s="5">
        <v>0.13541666666666666</v>
      </c>
    </row>
    <row r="5" spans="1:5">
      <c r="A5">
        <v>4</v>
      </c>
      <c r="B5" s="6" t="s">
        <v>16</v>
      </c>
      <c r="C5" s="6" t="s">
        <v>17</v>
      </c>
      <c r="D5" s="6" t="s">
        <v>18</v>
      </c>
      <c r="E5" s="5">
        <v>0.15208333333333332</v>
      </c>
    </row>
    <row r="6" spans="1:5">
      <c r="A6">
        <v>5</v>
      </c>
      <c r="B6" s="6" t="s">
        <v>19</v>
      </c>
      <c r="C6" s="6" t="s">
        <v>20</v>
      </c>
      <c r="D6" s="6" t="s">
        <v>10</v>
      </c>
      <c r="E6" s="5">
        <v>0.12916666666666668</v>
      </c>
    </row>
    <row r="7" spans="1:5">
      <c r="A7">
        <v>6</v>
      </c>
      <c r="B7" s="6" t="s">
        <v>21</v>
      </c>
      <c r="C7" s="6" t="s">
        <v>22</v>
      </c>
      <c r="D7" s="6" t="s">
        <v>10</v>
      </c>
      <c r="E7" s="5">
        <v>0.16041666666666668</v>
      </c>
    </row>
    <row r="8" spans="1:5">
      <c r="A8">
        <v>7</v>
      </c>
      <c r="B8" s="6" t="s">
        <v>23</v>
      </c>
      <c r="C8" s="6" t="s">
        <v>24</v>
      </c>
      <c r="D8" s="6" t="s">
        <v>10</v>
      </c>
      <c r="E8" s="5">
        <v>0.14791666666666667</v>
      </c>
    </row>
    <row r="9" spans="1:5">
      <c r="A9">
        <v>8</v>
      </c>
      <c r="B9" s="6" t="s">
        <v>25</v>
      </c>
      <c r="C9" s="6" t="s">
        <v>26</v>
      </c>
      <c r="D9" s="6" t="s">
        <v>10</v>
      </c>
      <c r="E9" s="5">
        <v>0.1423611111111111</v>
      </c>
    </row>
    <row r="10" spans="1:5">
      <c r="A10">
        <v>9</v>
      </c>
      <c r="B10" s="6" t="s">
        <v>27</v>
      </c>
      <c r="C10" s="6" t="s">
        <v>28</v>
      </c>
      <c r="D10" s="6" t="s">
        <v>10</v>
      </c>
      <c r="E10" s="5">
        <v>0.11458333333333333</v>
      </c>
    </row>
    <row r="11" spans="1:5">
      <c r="A11">
        <v>10</v>
      </c>
      <c r="B11" s="6" t="s">
        <v>29</v>
      </c>
      <c r="C11" s="6" t="s">
        <v>30</v>
      </c>
      <c r="D11" s="6" t="s">
        <v>10</v>
      </c>
      <c r="E11" s="5">
        <v>0.13402777777777777</v>
      </c>
    </row>
    <row r="12" spans="1:5">
      <c r="A12">
        <v>11</v>
      </c>
      <c r="B12" s="6" t="s">
        <v>31</v>
      </c>
      <c r="C12" s="6" t="s">
        <v>32</v>
      </c>
      <c r="D12" s="6" t="s">
        <v>10</v>
      </c>
      <c r="E12" s="5">
        <v>0.16875000000000001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topLeftCell="G1" workbookViewId="0">
      <selection activeCell="A3" sqref="A3:K15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119.21875" bestFit="1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13</v>
      </c>
      <c r="F2" s="1">
        <f t="array" ref="F2">MAX(LENB(Sheet1!C1:'Sheet1'!C30))</f>
        <v>184</v>
      </c>
      <c r="H2" s="1">
        <f t="array" ref="H2">MAX(LENB(Sheet1!D1:'Sheet1'!D30))</f>
        <v>34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Genius       </v>
      </c>
      <c r="E5" s="3" t="s">
        <v>0</v>
      </c>
      <c r="F5" t="str">
        <f>" "&amp;LEFTB(Sheet1!C2&amp;REPT(" ",$F$2),$F$2)</f>
        <v xml:space="preserve"> Sarah Aarons / Ravyn Lenae / Dacoury Natche / Spencer Stewart                                                                                                                           </v>
      </c>
      <c r="G5" s="3" t="s">
        <v>0</v>
      </c>
      <c r="H5" t="str">
        <f>LEFTB(Sheet1!D2&amp;REPT(" ",$H$2),$H$2)</f>
        <v xml:space="preserve">Ravyn Lenae                       </v>
      </c>
      <c r="I5" s="3" t="s">
        <v>0</v>
      </c>
      <c r="J5" s="2" t="str">
        <f>TEXT(Sheet1!E2,"HH:MM")&amp;" "</f>
        <v xml:space="preserve">02:35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Bad Idea     </v>
      </c>
      <c r="E6" s="3" t="s">
        <v>0</v>
      </c>
      <c r="F6" t="str">
        <f>" "&amp;LEFTB(Sheet1!C3&amp;REPT(" ",$F$2),$F$2)</f>
        <v xml:space="preserve"> Sarah Aarons / Jaron Alston / Johnta Austin / Ricardo Bell / Jermaine Dupri / Ravyn Lenae / Dacoury Natche / Jason Pounds / Ralph Tresvant                                              </v>
      </c>
      <c r="G6" s="3" t="s">
        <v>0</v>
      </c>
      <c r="H6" t="str">
        <f>LEFTB(Sheet1!D3&amp;REPT(" ",$H$2),$H$2)</f>
        <v xml:space="preserve">Ravyn Lenae                       </v>
      </c>
      <c r="I6" s="3" t="s">
        <v>0</v>
      </c>
      <c r="J6" s="2" t="str">
        <f>TEXT(Sheet1!E3,"HH:MM")&amp;" "</f>
        <v xml:space="preserve">02:14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One Wish     </v>
      </c>
      <c r="E7" s="3" t="s">
        <v>0</v>
      </c>
      <c r="F7" t="str">
        <f>" "&amp;LEFTB(Sheet1!C4&amp;REPT(" ",$F$2),$F$2)</f>
        <v xml:space="preserve"> Sarah Aarons / Fortunato Arduini / Luiz Antonio Bizarro / Isaac de Boni / Childish Gambino / Ravyn Lenae / Michael Mule / Dacoury Natche / Ely Weisfeld / Margaux Whitney               </v>
      </c>
      <c r="G7" s="3" t="s">
        <v>0</v>
      </c>
      <c r="H7" t="str">
        <f>LEFTB(Sheet1!D4&amp;REPT(" ",$H$2),$H$2)</f>
        <v>Ravyn Lenae feat. Childish Gambino</v>
      </c>
      <c r="I7" s="3" t="s">
        <v>0</v>
      </c>
      <c r="J7" s="2" t="str">
        <f>TEXT(Sheet1!E4,"HH:MM")&amp;" "</f>
        <v xml:space="preserve">03:15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Dream Girl   </v>
      </c>
      <c r="E8" s="3" t="s">
        <v>0</v>
      </c>
      <c r="F8" t="str">
        <f>" "&amp;LEFTB(Sheet1!C5&amp;REPT(" ",$F$2),$F$2)</f>
        <v xml:space="preserve"> Sarah Aarons / Tyrone Griffin / Jimmy Jam / Ravyn Lenae / Dacoury Natche / Spencer Stewart / Ely Weisfeld                                                                               </v>
      </c>
      <c r="G8" s="3" t="s">
        <v>0</v>
      </c>
      <c r="H8" t="str">
        <f>LEFTB(Sheet1!D5&amp;REPT(" ",$H$2),$H$2)</f>
        <v xml:space="preserve">Ravyn Lenae feat, Ty Dolla $ign   </v>
      </c>
      <c r="I8" s="3" t="s">
        <v>0</v>
      </c>
      <c r="J8" s="2" t="str">
        <f>TEXT(Sheet1!E5,"HH:MM")&amp;" "</f>
        <v xml:space="preserve">03:39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Candy        </v>
      </c>
      <c r="E9" s="3" t="s">
        <v>0</v>
      </c>
      <c r="F9" t="str">
        <f>" "&amp;LEFTB(Sheet1!C6&amp;REPT(" ",$F$2),$F$2)</f>
        <v xml:space="preserve"> Sarah Aarons / Ravyn Lenae / Dacoury Natche / Ely Weisfeld                                                                                                                              </v>
      </c>
      <c r="G9" s="3" t="s">
        <v>0</v>
      </c>
      <c r="H9" t="str">
        <f>LEFTB(Sheet1!D6&amp;REPT(" ",$H$2),$H$2)</f>
        <v xml:space="preserve">Ravyn Lenae                       </v>
      </c>
      <c r="I9" s="3" t="s">
        <v>0</v>
      </c>
      <c r="J9" s="2" t="str">
        <f>TEXT(Sheet1!E6,"HH:MM")&amp;" "</f>
        <v xml:space="preserve">03:06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>Love Is Blind</v>
      </c>
      <c r="E10" s="3" t="s">
        <v>0</v>
      </c>
      <c r="F10" t="str">
        <f>" "&amp;LEFTB(Sheet1!C7&amp;REPT(" ",$F$2),$F$2)</f>
        <v xml:space="preserve"> Sarah Aarons / Ravyn Lenae / Dacoury Natche / Jared Solomon / Spencer Stewart                                                                                                           </v>
      </c>
      <c r="G10" s="3" t="s">
        <v>0</v>
      </c>
      <c r="H10" t="str">
        <f>LEFTB(Sheet1!D7&amp;REPT(" ",$H$2),$H$2)</f>
        <v xml:space="preserve">Ravyn Lenae                       </v>
      </c>
      <c r="I10" s="3" t="s">
        <v>0</v>
      </c>
      <c r="J10" s="2" t="str">
        <f>TEXT(Sheet1!E7,"HH:MM")&amp;" "</f>
        <v xml:space="preserve">03:51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Love Me Not  </v>
      </c>
      <c r="E11" s="3" t="s">
        <v>0</v>
      </c>
      <c r="F11" t="str">
        <f>" "&amp;LEFTB(Sheet1!C8&amp;REPT(" ",$F$2),$F$2)</f>
        <v xml:space="preserve"> Anderson .Paak / Sarah Aarons / Dominic Angelella / Craig Balmoris / Christian Farlow / Jaelen Irizarry / Ravyn Lenae / Dacoury Natche / Julian Nixon / Brent Reynolds / Spencer Stewart</v>
      </c>
      <c r="G11" s="3" t="s">
        <v>0</v>
      </c>
      <c r="H11" t="str">
        <f>LEFTB(Sheet1!D8&amp;REPT(" ",$H$2),$H$2)</f>
        <v xml:space="preserve">Ravyn Lenae                       </v>
      </c>
      <c r="I11" s="3" t="s">
        <v>0</v>
      </c>
      <c r="J11" s="2" t="str">
        <f>TEXT(Sheet1!E8,"HH:MM")&amp;" "</f>
        <v xml:space="preserve">03:33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From Scratch </v>
      </c>
      <c r="E12" s="3" t="s">
        <v>0</v>
      </c>
      <c r="F12" t="str">
        <f>" "&amp;LEFTB(Sheet1!C9&amp;REPT(" ",$F$2),$F$2)</f>
        <v xml:space="preserve"> Sarah Aarons / Yonatan Ayal / Tobias Breuer / Ravyn Lenae / Dacoury Natche / Hayley Penner / Jason Pounds / Spencer Stewart                                                             </v>
      </c>
      <c r="G12" s="3" t="s">
        <v>0</v>
      </c>
      <c r="H12" t="str">
        <f>LEFTB(Sheet1!D9&amp;REPT(" ",$H$2),$H$2)</f>
        <v xml:space="preserve">Ravyn Lenae                       </v>
      </c>
      <c r="I12" s="3" t="s">
        <v>0</v>
      </c>
      <c r="J12" s="2" t="str">
        <f>TEXT(Sheet1!E9,"HH:MM")&amp;" "</f>
        <v xml:space="preserve">03:25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1 of 1       </v>
      </c>
      <c r="E13" s="3" t="s">
        <v>0</v>
      </c>
      <c r="F13" t="str">
        <f>" "&amp;LEFTB(Sheet1!C10&amp;REPT(" ",$F$2),$F$2)</f>
        <v xml:space="preserve"> Sarah Aarons / Steve Lacy / Ravyn Lenae / Dacoury Natche / Spencer Stewart                                                                                                              </v>
      </c>
      <c r="G13" s="3" t="s">
        <v>0</v>
      </c>
      <c r="H13" t="str">
        <f>LEFTB(Sheet1!D10&amp;REPT(" ",$H$2),$H$2)</f>
        <v xml:space="preserve">Ravyn Lenae                       </v>
      </c>
      <c r="I13" s="3" t="s">
        <v>0</v>
      </c>
      <c r="J13" s="2" t="str">
        <f>TEXT(Sheet1!E10,"HH:MM")&amp;" "</f>
        <v xml:space="preserve">02:45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Pilot        </v>
      </c>
      <c r="E14" s="3" t="s">
        <v>0</v>
      </c>
      <c r="F14" t="str">
        <f>" "&amp;LEFTB(Sheet1!C11&amp;REPT(" ",$F$2),$F$2)</f>
        <v xml:space="preserve"> Sarah Aarons / Ravyn Lenae / Daniel McKinnon / Dacoury Natche / Hayley Penner / Spencer Stewart / Ely Weisfeld                                                                          </v>
      </c>
      <c r="G14" s="3" t="s">
        <v>0</v>
      </c>
      <c r="H14" t="str">
        <f>LEFTB(Sheet1!D11&amp;REPT(" ",$H$2),$H$2)</f>
        <v xml:space="preserve">Ravyn Lenae                       </v>
      </c>
      <c r="I14" s="3" t="s">
        <v>0</v>
      </c>
      <c r="J14" s="2" t="str">
        <f>TEXT(Sheet1!E11,"HH:MM")&amp;" "</f>
        <v xml:space="preserve">03:13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Days         </v>
      </c>
      <c r="E15" s="3" t="s">
        <v>0</v>
      </c>
      <c r="F15" t="str">
        <f>" "&amp;LEFTB(Sheet1!C12&amp;REPT(" ",$F$2),$F$2)</f>
        <v xml:space="preserve"> Sarah Aarons / Tobias Breuer / Ravyn Lenae / Dacoury Natche / Hayley Penner / Spencer Stewart / Ely Weisfeld                                                                            </v>
      </c>
      <c r="G15" s="3" t="s">
        <v>0</v>
      </c>
      <c r="H15" t="str">
        <f>LEFTB(Sheet1!D12&amp;REPT(" ",$H$2),$H$2)</f>
        <v xml:space="preserve">Ravyn Lenae                       </v>
      </c>
      <c r="I15" s="3" t="s">
        <v>0</v>
      </c>
      <c r="J15" s="2" t="str">
        <f>TEXT(Sheet1!E12,"HH:MM")&amp;" "</f>
        <v xml:space="preserve">04:03 </v>
      </c>
      <c r="K15" s="3" t="s">
        <v>0</v>
      </c>
    </row>
    <row r="16" spans="1:11">
      <c r="A16" t="s">
        <v>0</v>
      </c>
      <c r="B16">
        <f>Sheet1!A13</f>
        <v>0</v>
      </c>
      <c r="C16" s="3" t="s">
        <v>0</v>
      </c>
      <c r="D16" s="4" t="str">
        <f>LEFTB(Sheet1!B13&amp;REPT(" ",$D$2),$D$2)</f>
        <v xml:space="preserve">             </v>
      </c>
      <c r="E16" s="3" t="s">
        <v>0</v>
      </c>
      <c r="F16" t="str">
        <f>" "&amp;LEFTB(Sheet1!C13&amp;REPT(" ",$F$2),$F$2)</f>
        <v xml:space="preserve">                                                                                                                                                                                         </v>
      </c>
      <c r="G16" s="3" t="s">
        <v>0</v>
      </c>
      <c r="H16" t="str">
        <f>LEFTB(Sheet1!D13&amp;REPT(" ",$H$2),$H$2)</f>
        <v xml:space="preserve">                                  </v>
      </c>
      <c r="I16" s="3" t="s">
        <v>0</v>
      </c>
      <c r="J16" s="2" t="str">
        <f>TEXT(Sheet1!E13,"HH:MM")&amp;" "</f>
        <v xml:space="preserve">00:00 </v>
      </c>
      <c r="K16" s="3" t="s">
        <v>0</v>
      </c>
    </row>
    <row r="17" spans="1:11">
      <c r="A17" t="s">
        <v>0</v>
      </c>
      <c r="B17">
        <f>Sheet1!A14</f>
        <v>0</v>
      </c>
      <c r="C17" s="3" t="s">
        <v>0</v>
      </c>
      <c r="D17" s="4" t="str">
        <f>LEFTB(Sheet1!B14&amp;REPT(" ",$D$2),$D$2)</f>
        <v xml:space="preserve">             </v>
      </c>
      <c r="E17" s="3" t="s">
        <v>0</v>
      </c>
      <c r="F17" t="str">
        <f>" "&amp;LEFTB(Sheet1!C14&amp;REPT(" ",$F$2),$F$2)</f>
        <v xml:space="preserve">                                                                                                                                                                                         </v>
      </c>
      <c r="G17" s="3" t="s">
        <v>0</v>
      </c>
      <c r="H17" t="str">
        <f>LEFTB(Sheet1!D14&amp;REPT(" ",$H$2),$H$2)</f>
        <v xml:space="preserve">                                  </v>
      </c>
      <c r="I17" s="3" t="s">
        <v>0</v>
      </c>
      <c r="J17" s="2" t="str">
        <f>TEXT(Sheet1!E14,"HH:MM")&amp;" "</f>
        <v xml:space="preserve">00:00 </v>
      </c>
      <c r="K17" s="3" t="s">
        <v>0</v>
      </c>
    </row>
    <row r="18" spans="1:11">
      <c r="A18" t="s">
        <v>0</v>
      </c>
      <c r="B18">
        <f>Sheet1!A15</f>
        <v>0</v>
      </c>
      <c r="C18" s="3" t="s">
        <v>0</v>
      </c>
      <c r="D18" t="str">
        <f>LEFTB(Sheet1!B15&amp;REPT(" ",$D$2),$D$2)</f>
        <v xml:space="preserve">             </v>
      </c>
      <c r="E18" s="3" t="s">
        <v>0</v>
      </c>
      <c r="F18" t="str">
        <f>" "&amp;LEFTB(Sheet1!C15&amp;REPT(" ",$F$2),$F$2)</f>
        <v xml:space="preserve">                                                                                                                                                                                         </v>
      </c>
      <c r="G18" s="3" t="s">
        <v>0</v>
      </c>
      <c r="H18" t="str">
        <f>LEFTB(Sheet1!D15&amp;REPT(" ",$H$2),$H$2)</f>
        <v xml:space="preserve">                                  </v>
      </c>
      <c r="I18" s="3" t="s">
        <v>0</v>
      </c>
      <c r="J18" s="2" t="str">
        <f>TEXT(Sheet1!E15,"HH:MM")&amp;" "</f>
        <v xml:space="preserve">00:00 </v>
      </c>
      <c r="K18" s="3" t="s">
        <v>0</v>
      </c>
    </row>
    <row r="19" spans="1:11">
      <c r="A19" t="s">
        <v>0</v>
      </c>
      <c r="B19">
        <f>Sheet1!A16</f>
        <v>0</v>
      </c>
      <c r="C19" s="3" t="s">
        <v>0</v>
      </c>
      <c r="D19" t="str">
        <f>LEFTB(Sheet1!B16&amp;REPT(" ",$D$2),$D$2)</f>
        <v xml:space="preserve">             </v>
      </c>
      <c r="E19" s="3" t="s">
        <v>0</v>
      </c>
      <c r="F19" t="str">
        <f>" "&amp;LEFTB(Sheet1!C16&amp;REPT(" ",$F$2),$F$2)</f>
        <v xml:space="preserve">                                                                                                                                                                                         </v>
      </c>
      <c r="G19" s="3" t="s">
        <v>0</v>
      </c>
      <c r="H19" t="str">
        <f>LEFTB(Sheet1!D16&amp;REPT(" ",$H$2),$H$2)</f>
        <v xml:space="preserve">                                  </v>
      </c>
      <c r="I19" s="3" t="s">
        <v>0</v>
      </c>
      <c r="J19" s="2" t="str">
        <f>TEXT(Sheet1!E16,"HH:MM")&amp;" "</f>
        <v xml:space="preserve">00:00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</v>
      </c>
      <c r="E20" s="3" t="s">
        <v>0</v>
      </c>
      <c r="F20" t="str">
        <f>" "&amp;LEFTB(Sheet1!C17&amp;REPT(" ",$F$2),$F$2)</f>
        <v xml:space="preserve">                                                                                                                                                                                         </v>
      </c>
      <c r="G20" s="3" t="s">
        <v>0</v>
      </c>
      <c r="H20" t="str">
        <f>LEFTB(Sheet1!D17&amp;REPT(" ",$H$2),$H$2)</f>
        <v xml:space="preserve">          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</v>
      </c>
      <c r="E21" s="3" t="s">
        <v>0</v>
      </c>
      <c r="F21" t="str">
        <f>" "&amp;LEFTB(Sheet1!C18&amp;REPT(" ",$F$2),$F$2)</f>
        <v xml:space="preserve">                                                                                                                                                                                         </v>
      </c>
      <c r="G21" s="3" t="s">
        <v>0</v>
      </c>
      <c r="H21" t="str">
        <f>LEFTB(Sheet1!D18&amp;REPT(" ",$H$2),$H$2)</f>
        <v xml:space="preserve">        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</v>
      </c>
      <c r="E22" s="3" t="s">
        <v>0</v>
      </c>
      <c r="F22" t="str">
        <f>" "&amp;LEFTB(Sheet1!C19&amp;REPT(" ",$F$2),$F$2)</f>
        <v xml:space="preserve">                                                                                                                                                                                         </v>
      </c>
      <c r="G22" s="3" t="s">
        <v>0</v>
      </c>
      <c r="H22" t="str">
        <f>LEFTB(Sheet1!D19&amp;REPT(" ",$H$2),$H$2)</f>
        <v xml:space="preserve">        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</v>
      </c>
      <c r="E23" s="3" t="s">
        <v>0</v>
      </c>
      <c r="F23" t="str">
        <f>" "&amp;LEFTB(Sheet1!C20&amp;REPT(" ",$F$2),$F$2)</f>
        <v xml:space="preserve">                                                                                                                                                                                         </v>
      </c>
      <c r="G23" s="3" t="s">
        <v>0</v>
      </c>
      <c r="H23" t="str">
        <f>LEFTB(Sheet1!D20&amp;REPT(" ",$H$2),$H$2)</f>
        <v xml:space="preserve">     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</v>
      </c>
      <c r="E24" s="3" t="s">
        <v>0</v>
      </c>
      <c r="F24" t="str">
        <f>" "&amp;LEFTB(Sheet1!C21&amp;REPT(" ",$F$2),$F$2)</f>
        <v xml:space="preserve">                                                                                                                                                                                         </v>
      </c>
      <c r="G24" s="3" t="s">
        <v>0</v>
      </c>
      <c r="H24" t="str">
        <f>LEFTB(Sheet1!D21&amp;REPT(" ",$H$2),$H$2)</f>
        <v xml:space="preserve">     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</v>
      </c>
      <c r="E25" s="3" t="s">
        <v>0</v>
      </c>
      <c r="F25" t="str">
        <f>" "&amp;LEFTB(Sheet1!C22&amp;REPT(" ",$F$2),$F$2)</f>
        <v xml:space="preserve">                                                                                                                                                                                         </v>
      </c>
      <c r="G25" s="3" t="s">
        <v>0</v>
      </c>
      <c r="H25" t="str">
        <f>LEFTB(Sheet1!D22&amp;REPT(" ",$H$2),$H$2)</f>
        <v xml:space="preserve">     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</v>
      </c>
      <c r="E26" s="3" t="s">
        <v>0</v>
      </c>
      <c r="F26" t="str">
        <f>" "&amp;LEFTB(Sheet1!C23&amp;REPT(" ",$F$2),$F$2)</f>
        <v xml:space="preserve">                                                                                                                                                                                         </v>
      </c>
      <c r="G26" s="3" t="s">
        <v>0</v>
      </c>
      <c r="H26" t="str">
        <f>LEFTB(Sheet1!D23&amp;REPT(" ",$H$2),$H$2)</f>
        <v xml:space="preserve">     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</v>
      </c>
      <c r="E27" s="3" t="s">
        <v>0</v>
      </c>
      <c r="F27" t="str">
        <f>" "&amp;LEFTB(Sheet1!C24&amp;REPT(" ",$F$2),$F$2)</f>
        <v xml:space="preserve">                                                                                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   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317A0-AC48-42A4-ABC6-DF07CECB9CCC}">
  <dimension ref="A1:E12"/>
  <sheetViews>
    <sheetView workbookViewId="0">
      <selection sqref="A1:XFD1048576"/>
    </sheetView>
  </sheetViews>
  <sheetFormatPr defaultRowHeight="19.5"/>
  <cols>
    <col min="1" max="1" width="11" bestFit="1" customWidth="1"/>
    <col min="2" max="2" width="12.88671875" bestFit="1" customWidth="1"/>
    <col min="3" max="3" width="80.88671875" bestFit="1" customWidth="1"/>
    <col min="4" max="4" width="33.5546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0.1076388888888889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9.3055555555555558E-2</v>
      </c>
    </row>
    <row r="4" spans="1:5">
      <c r="A4">
        <v>3</v>
      </c>
      <c r="B4" s="6" t="s">
        <v>13</v>
      </c>
      <c r="C4" s="6" t="s">
        <v>14</v>
      </c>
      <c r="D4" s="6" t="s">
        <v>15</v>
      </c>
      <c r="E4" s="5">
        <v>0.13541666666666666</v>
      </c>
    </row>
    <row r="5" spans="1:5">
      <c r="A5">
        <v>4</v>
      </c>
      <c r="B5" s="6" t="s">
        <v>16</v>
      </c>
      <c r="C5" s="6" t="s">
        <v>17</v>
      </c>
      <c r="D5" s="6" t="s">
        <v>18</v>
      </c>
      <c r="E5" s="5">
        <v>0.15208333333333332</v>
      </c>
    </row>
    <row r="6" spans="1:5">
      <c r="A6">
        <v>5</v>
      </c>
      <c r="B6" s="6" t="s">
        <v>19</v>
      </c>
      <c r="C6" s="6" t="s">
        <v>20</v>
      </c>
      <c r="D6" s="6" t="s">
        <v>10</v>
      </c>
      <c r="E6" s="5">
        <v>0.12916666666666668</v>
      </c>
    </row>
    <row r="7" spans="1:5">
      <c r="A7">
        <v>6</v>
      </c>
      <c r="B7" s="6" t="s">
        <v>21</v>
      </c>
      <c r="C7" s="6" t="s">
        <v>22</v>
      </c>
      <c r="D7" s="6" t="s">
        <v>10</v>
      </c>
      <c r="E7" s="5">
        <v>0.16041666666666668</v>
      </c>
    </row>
    <row r="8" spans="1:5">
      <c r="A8">
        <v>7</v>
      </c>
      <c r="B8" s="6" t="s">
        <v>23</v>
      </c>
      <c r="C8" s="6" t="s">
        <v>24</v>
      </c>
      <c r="D8" s="6" t="s">
        <v>10</v>
      </c>
      <c r="E8" s="5">
        <v>0.14791666666666667</v>
      </c>
    </row>
    <row r="9" spans="1:5">
      <c r="A9">
        <v>8</v>
      </c>
      <c r="B9" s="6" t="s">
        <v>25</v>
      </c>
      <c r="C9" s="6" t="s">
        <v>26</v>
      </c>
      <c r="D9" s="6" t="s">
        <v>10</v>
      </c>
      <c r="E9" s="5">
        <v>0.1423611111111111</v>
      </c>
    </row>
    <row r="10" spans="1:5">
      <c r="A10">
        <v>9</v>
      </c>
      <c r="B10" s="6" t="s">
        <v>27</v>
      </c>
      <c r="C10" s="6" t="s">
        <v>28</v>
      </c>
      <c r="D10" s="6" t="s">
        <v>10</v>
      </c>
      <c r="E10" s="5">
        <v>0.11458333333333333</v>
      </c>
    </row>
    <row r="11" spans="1:5">
      <c r="A11">
        <v>10</v>
      </c>
      <c r="B11" s="6" t="s">
        <v>29</v>
      </c>
      <c r="C11" s="6" t="s">
        <v>30</v>
      </c>
      <c r="D11" s="6" t="s">
        <v>10</v>
      </c>
      <c r="E11" s="5">
        <v>0.13402777777777777</v>
      </c>
    </row>
    <row r="12" spans="1:5">
      <c r="A12">
        <v>11</v>
      </c>
      <c r="B12" s="6" t="s">
        <v>31</v>
      </c>
      <c r="C12" s="6" t="s">
        <v>32</v>
      </c>
      <c r="D12" s="6" t="s">
        <v>10</v>
      </c>
      <c r="E12" s="5">
        <v>0.16875000000000001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3355E-D276-4B79-B99A-833F0CE66D6B}">
  <dimension ref="E2:E16"/>
  <sheetViews>
    <sheetView workbookViewId="0"/>
  </sheetViews>
  <sheetFormatPr defaultRowHeight="19.5"/>
  <cols>
    <col min="1" max="1" width="11" bestFit="1" customWidth="1"/>
    <col min="2" max="2" width="22.6640625" bestFit="1" customWidth="1"/>
    <col min="3" max="3" width="80.88671875" bestFit="1" customWidth="1"/>
    <col min="4" max="4" width="42.8867187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DD965-F8D6-47DC-890D-0CC058E1C4A0}">
  <dimension ref="E2:E15"/>
  <sheetViews>
    <sheetView workbookViewId="0">
      <selection activeCell="B12" sqref="B12"/>
    </sheetView>
  </sheetViews>
  <sheetFormatPr defaultRowHeight="19.5"/>
  <cols>
    <col min="1" max="1" width="6.21875" bestFit="1" customWidth="1"/>
    <col min="2" max="2" width="21.77734375" bestFit="1" customWidth="1"/>
    <col min="3" max="3" width="80.88671875" bestFit="1" customWidth="1"/>
    <col min="4" max="4" width="34.4414062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27C68-2185-4F7D-83AD-774B6B28271B}">
  <dimension ref="E2:E15"/>
  <sheetViews>
    <sheetView workbookViewId="0"/>
  </sheetViews>
  <sheetFormatPr defaultRowHeight="19.5"/>
  <cols>
    <col min="1" max="1" width="11" bestFit="1" customWidth="1"/>
    <col min="2" max="2" width="21.33203125" bestFit="1" customWidth="1"/>
    <col min="3" max="3" width="80.88671875" bestFit="1" customWidth="1"/>
    <col min="4" max="4" width="48.554687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Sheet1</vt:lpstr>
      <vt:lpstr>Sheet2</vt:lpstr>
      <vt:lpstr>テーブル 5 (61)</vt:lpstr>
      <vt:lpstr>テーブル 5 (59)</vt:lpstr>
      <vt:lpstr>テーブル 5 (57)</vt:lpstr>
      <vt:lpstr>テーブル 5 (55)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2025-05-27T11:50:08Z</dcterms:modified>
</cp:coreProperties>
</file>