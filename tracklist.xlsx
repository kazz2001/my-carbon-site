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arbon\mcs_v4\"/>
    </mc:Choice>
  </mc:AlternateContent>
  <xr:revisionPtr revIDLastSave="0" documentId="13_ncr:1_{F42BAE5D-B08F-4D46-A4EF-172815B8A0B9}" xr6:coauthVersionLast="47" xr6:coauthVersionMax="47" xr10:uidLastSave="{00000000-0000-0000-0000-000000000000}"/>
  <bookViews>
    <workbookView xWindow="13752" yWindow="1848" windowWidth="23772" windowHeight="16824" activeTab="1" xr2:uid="{00000000-000D-0000-FFFF-FFFF00000000}"/>
  </bookViews>
  <sheets>
    <sheet name="Sheet1" sheetId="1" r:id="rId1"/>
    <sheet name="Sheet2" sheetId="2" r:id="rId2"/>
    <sheet name="テーブル 5 (13)" sheetId="46" r:id="rId3"/>
    <sheet name="テーブル 5 (11)" sheetId="45" r:id="rId4"/>
  </sheets>
  <definedNames>
    <definedName name="ExternalData_1" localSheetId="2" hidden="1">'テーブル 5 (13)'!$A$1:$E$12</definedName>
    <definedName name="ExternalData_2" localSheetId="0" hidden="1">Sheet1!$A$1:$E$12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86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87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88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89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90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91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92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<sst xmlns="http://schemas.openxmlformats.org/spreadsheetml/2006/main" count="240" uniqueCount="31">
  <si>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</si>
  <si>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</si>
  <si>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</si>
  <si>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</si>
  <si>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</si>
  <si>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</si>
  <si>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</si>
  <si>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</si>
  <si>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Just the Memories</t>
  </si>
  <si>
    <t>Nicki Minaj, Collin “Bulby” York, Bone Collector, Beenie Man, John Glover,
                  Lynford “Fatta” Marshall, Johnny Bristol, Habib Defoundoux, Jerry Butler,
                  James Dean, Derrick Milano</t>
  </si>
  <si>
    <t>Nicki Minaj</t>
  </si>
  <si>
    <t>Big Difference</t>
  </si>
  <si>
    <t>Nicki Minaj, Derrick Milano, BoogzDaBeast, Finatik, Zac, Keanu Beats, Slade
                  Da Monsta</t>
  </si>
  <si>
    <t>Red Ruby Da Sleaze</t>
  </si>
  <si>
    <t>Lumidee, Nicki Minaj, Tate Kobang, Kirsten Spencer, Go Grizzly, Cheeze
                  Beatz, Teddy Mendez, Steven “Lenky” Marsden, Josiah Nasir Muhammad, Irvin
                  Winslow, Edwin Perez</t>
  </si>
  <si>
    <t>My Life</t>
  </si>
  <si>
    <t>Chris Stein, Debbie Harry, Don Cannon, Nicki Minaj, Sean Momberger, Tate
                  Kobang</t>
  </si>
  <si>
    <t>RNB</t>
  </si>
  <si>
    <t>Nicki Minaj, Lil Wayne, Tate Kobang, YG! Beats, Dystinkt Beats</t>
  </si>
  <si>
    <t>Nicki Minaj feat. Lil Wayne, Tate Kobang</t>
  </si>
  <si>
    <t>Falling 4 U</t>
  </si>
  <si>
    <t>DB!, ATL Jacob, Nicki Minaj</t>
  </si>
  <si>
    <t>Last Time I Saw You</t>
  </si>
  <si>
    <t>Nicki Minaj, Hendrix Smoke, ATL Jacob, TooDope, Bak, Frankie Bash</t>
  </si>
  <si>
    <t>Everybody</t>
  </si>
  <si>
    <t>Nicki Minaj, Lil Uzi Vert, Isaiah Henry, Jesper “Junior” Mortensen, Tate
                  Kobang</t>
  </si>
  <si>
    <t>Nicki Minaj feat. Lil Uzi Vert</t>
  </si>
  <si>
    <t>Super Freaky Girl</t>
  </si>
  <si>
    <t>Nicki Minaj, Dr. Luke, Rick James, Alonzo Miller, Aaron Joseph, Lauren
                  Miller, LunchMoney Lewis, Vaughn Oliver</t>
  </si>
  <si>
    <t>Bahm Bahm</t>
  </si>
  <si>
    <t>Nicki Minaj, Jess Carp, Tate Kobang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</si>
</sst>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4" xr16:uid="{E9F557E6-1443-43D6-8DF4-18C4CDE96FF5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3" xr16:uid="{16CEBF51-999D-4FC5-97B2-4DC0B7C09C10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334F9B-43C3-4EFD-9B3E-B28E493574E5}" name="テーブル_5__135" displayName="テーブル_5__135" ref="A1:E12" tableType="queryTable" totalsRowShown="0">
  <autoFilter ref="A1:E12" xr:uid="{8E334F9B-43C3-4EFD-9B3E-B28E493574E5}"/>
  <tableColumns count="5">
    <tableColumn id="1" xr3:uid="{0ED994EF-6CC9-498E-B8E8-98806F94FEE3}" uniqueName="1" name="Column1" queryTableFieldId="1"/>
    <tableColumn id="2" xr3:uid="{2BADC585-FB25-4A28-AA15-4AF15D9580CA}" uniqueName="2" name="Title" queryTableFieldId="2" dataDxfId="3"/>
    <tableColumn id="3" xr3:uid="{146C9C96-F362-4CEE-A773-AF9C7D4DD3FD}" uniqueName="3" name="Composer" queryTableFieldId="3" dataDxfId="2"/>
    <tableColumn id="4" xr3:uid="{1E4E7D8E-DED8-471C-BA16-D6F03D6F60B8}" uniqueName="4" name="Performer" queryTableFieldId="4" dataDxfId="1"/>
    <tableColumn id="5" xr3:uid="{D773D73E-25D0-407F-8229-35A6DBEEBD60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1A896-CA38-43FE-8002-716846D4C1AE}" name="テーブル_5__13" displayName="テーブル_5__13" ref="A1:E12" tableType="queryTable" totalsRowShown="0">
  <autoFilter ref="A1:E12" xr:uid="{3291A896-CA38-43FE-8002-716846D4C1AE}"/>
  <tableColumns count="5">
    <tableColumn id="1" xr3:uid="{B42D788C-637B-4342-B7B5-9463C50DC869}" uniqueName="1" name="Column1" queryTableFieldId="1"/>
    <tableColumn id="2" xr3:uid="{BE32B478-8A43-460C-997E-AA7713FB48E1}" uniqueName="2" name="Title" queryTableFieldId="2" dataDxfId="7"/>
    <tableColumn id="3" xr3:uid="{EF11612D-E2D3-4612-B7AA-842E299726BF}" uniqueName="3" name="Composer" queryTableFieldId="3" dataDxfId="6"/>
    <tableColumn id="4" xr3:uid="{F42C3E8F-FCD0-4AC9-B91C-8CBAB10C0D81}" uniqueName="4" name="Performer" queryTableFieldId="4" dataDxfId="5"/>
    <tableColumn id="5" xr3:uid="{C27F71C5-B175-4C08-8985-81644731FB48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sqref="A1:XFD1048576"/>
    </sheetView>
  </sheetViews>
  <sheetFormatPr defaultRowHeight="19.8"/>
  <cols>
    <col min="1" max="1" width="10.81640625" bestFit="1" customWidth="1"/>
    <col min="2" max="2" width="19.453125" bestFit="1" customWidth="1"/>
    <col min="3" max="3" width="80.7265625" bestFit="1" customWidth="1"/>
    <col min="4" max="4" width="37.726562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0.16319444444444445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0.13263888888888889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0.14861111111111111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0.1076388888888889</v>
      </c>
    </row>
    <row r="6" spans="1:5">
      <c r="A6">
        <v>5</v>
      </c>
      <c r="B6" s="6" t="s">
        <v>17</v>
      </c>
      <c r="C6" s="6" t="s">
        <v>18</v>
      </c>
      <c r="D6" s="6" t="s">
        <v>19</v>
      </c>
      <c r="E6" s="5">
        <v>0.12777777777777777</v>
      </c>
    </row>
    <row r="7" spans="1:5">
      <c r="A7">
        <v>6</v>
      </c>
      <c r="B7" s="6" t="s">
        <v>20</v>
      </c>
      <c r="C7" s="6" t="s">
        <v>21</v>
      </c>
      <c r="D7" s="6" t="s">
        <v>10</v>
      </c>
      <c r="E7" s="5">
        <v>0.15833333333333333</v>
      </c>
    </row>
    <row r="8" spans="1:5">
      <c r="A8">
        <v>7</v>
      </c>
      <c r="B8" s="6" t="s">
        <v>22</v>
      </c>
      <c r="C8" s="6" t="s">
        <v>23</v>
      </c>
      <c r="D8" s="6" t="s">
        <v>10</v>
      </c>
      <c r="E8" s="5">
        <v>0.12777777777777777</v>
      </c>
    </row>
    <row r="9" spans="1:5">
      <c r="A9">
        <v>8</v>
      </c>
      <c r="B9" s="6" t="s">
        <v>24</v>
      </c>
      <c r="C9" s="6" t="s">
        <v>25</v>
      </c>
      <c r="D9" s="6" t="s">
        <v>26</v>
      </c>
      <c r="E9" s="5">
        <v>8.6805555555555552E-2</v>
      </c>
    </row>
    <row r="10" spans="1:5">
      <c r="A10">
        <v>9</v>
      </c>
      <c r="B10" s="6" t="s">
        <v>27</v>
      </c>
      <c r="C10" s="6" t="s">
        <v>28</v>
      </c>
      <c r="D10" s="6" t="s">
        <v>10</v>
      </c>
      <c r="E10" s="5">
        <v>0.16319444444444445</v>
      </c>
    </row>
    <row r="11" spans="1:5">
      <c r="A11">
        <v>10</v>
      </c>
      <c r="B11" s="6" t="s">
        <v>29</v>
      </c>
      <c r="C11" s="6" t="s">
        <v>30</v>
      </c>
      <c r="D11" s="6" t="s">
        <v>10</v>
      </c>
      <c r="E11" s="5">
        <v>9.7916666666666666E-2</v>
      </c>
    </row>
    <row r="12" spans="1:5">
      <c r="B12" s="6"/>
      <c r="C12" s="6"/>
      <c r="D12" s="6"/>
      <c r="E12" s="5"/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topLeftCell="G1" workbookViewId="0">
      <selection activeCell="A14" sqref="A3:K14"/>
    </sheetView>
  </sheetViews>
  <sheetFormatPr defaultColWidth="11.54296875" defaultRowHeight="19.8"/>
  <cols>
    <col min="1" max="1" width="4.1796875" customWidth="1"/>
    <col min="3" max="3" width="3.90625" style="3" customWidth="1"/>
    <col min="4" max="4" width="21.08984375" customWidth="1"/>
    <col min="5" max="5" width="4" style="3" customWidth="1"/>
    <col min="6" max="6" width="119.26953125" bestFit="1" customWidth="1"/>
    <col min="7" max="7" width="4.453125" style="3" customWidth="1"/>
    <col min="8" max="8" width="21.81640625" customWidth="1"/>
    <col min="9" max="9" width="4.36328125" style="3" customWidth="1"/>
    <col min="10" max="10" width="8.453125" customWidth="1"/>
    <col min="11" max="11" width="3.453125" style="3" customWidth="1"/>
  </cols>
  <sheetData>
    <row r="2" spans="1:11">
      <c r="D2" s="1">
        <f t="array" ref="D2">MAX(LENB(Sheet1!B1:'Sheet1'!B30))</f>
        <v>19</v>
      </c>
      <c r="F2" s="1">
        <f t="array" ref="F2">MAX(LENB(Sheet1!C1:'Sheet1'!C30))</f>
        <v>215</v>
      </c>
      <c r="H2" s="1">
        <f t="array" ref="H2">MAX(LENB(Sheet1!D1:'Sheet1'!D30))</f>
        <v>40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Just the Memories  </v>
      </c>
      <c r="E5" s="3" t="s">
        <v>0</v>
      </c>
      <c r="F5" t="str">
        <f>" "&amp;LEFTB(Sheet1!C2&amp;REPT(" ",$F$2),$F$2)</f>
        <v xml:space="preserve"> Nicki Minaj, Collin “Bulby” York, Bone Collector, Beenie Man, John Glover,
                  Lynford “Fatta” Marshall, Johnny Bristol, Habib Defoundoux, Jerry Butler,
                  James Dean, Derrick Milano</v>
      </c>
      <c r="G5" s="3" t="s">
        <v>0</v>
      </c>
      <c r="H5" t="str">
        <f>LEFTB(Sheet1!D2&amp;REPT(" ",$H$2),$H$2)</f>
        <v xml:space="preserve">Nicki Minaj                             </v>
      </c>
      <c r="I5" s="3" t="s">
        <v>0</v>
      </c>
      <c r="J5" s="2" t="str">
        <f>TEXT(Sheet1!E2,"HH:MM")&amp;" "</f>
        <v xml:space="preserve">03:55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Big Difference     </v>
      </c>
      <c r="E6" s="3" t="s">
        <v>0</v>
      </c>
      <c r="F6" t="str">
        <f>" "&amp;LEFTB(Sheet1!C3&amp;REPT(" ",$F$2),$F$2)</f>
        <v xml:space="preserve"> Nicki Minaj, Derrick Milano, BoogzDaBeast, Finatik, Zac, Keanu Beats, Slade
                  Da Monsta                                                                                                                </v>
      </c>
      <c r="G6" s="3" t="s">
        <v>0</v>
      </c>
      <c r="H6" t="str">
        <f>LEFTB(Sheet1!D3&amp;REPT(" ",$H$2),$H$2)</f>
        <v xml:space="preserve">Nicki Minaj                             </v>
      </c>
      <c r="I6" s="3" t="s">
        <v>0</v>
      </c>
      <c r="J6" s="2" t="str">
        <f>TEXT(Sheet1!E3,"HH:MM")&amp;" "</f>
        <v xml:space="preserve">03:11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Red Ruby Da Sleaze </v>
      </c>
      <c r="E7" s="3" t="s">
        <v>0</v>
      </c>
      <c r="F7" t="str">
        <f>" "&amp;LEFTB(Sheet1!C4&amp;REPT(" ",$F$2),$F$2)</f>
        <v xml:space="preserve"> Lumidee, Nicki Minaj, Tate Kobang, Kirsten Spencer, Go Grizzly, Cheeze
                  Beatz, Teddy Mendez, Steven “Lenky” Marsden, Josiah Nasir Muhammad, Irvin
                  Winslow, Edwin Perez            </v>
      </c>
      <c r="G7" s="3" t="s">
        <v>0</v>
      </c>
      <c r="H7" t="str">
        <f>LEFTB(Sheet1!D4&amp;REPT(" ",$H$2),$H$2)</f>
        <v xml:space="preserve">Nicki Minaj                             </v>
      </c>
      <c r="I7" s="3" t="s">
        <v>0</v>
      </c>
      <c r="J7" s="2" t="str">
        <f>TEXT(Sheet1!E4,"HH:MM")&amp;" "</f>
        <v xml:space="preserve">03:34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My Life            </v>
      </c>
      <c r="E8" s="3" t="s">
        <v>0</v>
      </c>
      <c r="F8" t="str">
        <f>" "&amp;LEFTB(Sheet1!C5&amp;REPT(" ",$F$2),$F$2)</f>
        <v xml:space="preserve"> Chris Stein, Debbie Harry, Don Cannon, Nicki Minaj, Sean Momberger, Tate
                  Kobang                                                                                                                      </v>
      </c>
      <c r="G8" s="3" t="s">
        <v>0</v>
      </c>
      <c r="H8" t="str">
        <f>LEFTB(Sheet1!D5&amp;REPT(" ",$H$2),$H$2)</f>
        <v xml:space="preserve">Nicki Minaj                             </v>
      </c>
      <c r="I8" s="3" t="s">
        <v>0</v>
      </c>
      <c r="J8" s="2" t="str">
        <f>TEXT(Sheet1!E5,"HH:MM")&amp;" "</f>
        <v xml:space="preserve">02:35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RNB                </v>
      </c>
      <c r="E9" s="3" t="s">
        <v>0</v>
      </c>
      <c r="F9" t="str">
        <f>" "&amp;LEFTB(Sheet1!C6&amp;REPT(" ",$F$2),$F$2)</f>
        <v xml:space="preserve"> Nicki Minaj, Lil Wayne, Tate Kobang, YG! Beats, Dystinkt Beats                                                                                                                                                         </v>
      </c>
      <c r="G9" s="3" t="s">
        <v>0</v>
      </c>
      <c r="H9" t="str">
        <f>LEFTB(Sheet1!D6&amp;REPT(" ",$H$2),$H$2)</f>
        <v>Nicki Minaj feat. Lil Wayne, Tate Kobang</v>
      </c>
      <c r="I9" s="3" t="s">
        <v>0</v>
      </c>
      <c r="J9" s="2" t="str">
        <f>TEXT(Sheet1!E6,"HH:MM")&amp;" "</f>
        <v xml:space="preserve">03:04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Falling 4 U        </v>
      </c>
      <c r="E10" s="3" t="s">
        <v>0</v>
      </c>
      <c r="F10" t="str">
        <f>" "&amp;LEFTB(Sheet1!C7&amp;REPT(" ",$F$2),$F$2)</f>
        <v xml:space="preserve"> DB!, ATL Jacob, Nicki Minaj                                                                                                                                                                                            </v>
      </c>
      <c r="G10" s="3" t="s">
        <v>0</v>
      </c>
      <c r="H10" t="str">
        <f>LEFTB(Sheet1!D7&amp;REPT(" ",$H$2),$H$2)</f>
        <v xml:space="preserve">Nicki Minaj                             </v>
      </c>
      <c r="I10" s="3" t="s">
        <v>0</v>
      </c>
      <c r="J10" s="2" t="str">
        <f>TEXT(Sheet1!E7,"HH:MM")&amp;" "</f>
        <v xml:space="preserve">03:48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>Last Time I Saw You</v>
      </c>
      <c r="E11" s="3" t="s">
        <v>0</v>
      </c>
      <c r="F11" t="str">
        <f>" "&amp;LEFTB(Sheet1!C8&amp;REPT(" ",$F$2),$F$2)</f>
        <v xml:space="preserve"> Nicki Minaj, Hendrix Smoke, ATL Jacob, TooDope, Bak, Frankie Bash                                                                                                                                                      </v>
      </c>
      <c r="G11" s="3" t="s">
        <v>0</v>
      </c>
      <c r="H11" t="str">
        <f>LEFTB(Sheet1!D8&amp;REPT(" ",$H$2),$H$2)</f>
        <v xml:space="preserve">Nicki Minaj                             </v>
      </c>
      <c r="I11" s="3" t="s">
        <v>0</v>
      </c>
      <c r="J11" s="2" t="str">
        <f>TEXT(Sheet1!E8,"HH:MM")&amp;" "</f>
        <v xml:space="preserve">03:04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Everybody          </v>
      </c>
      <c r="E12" s="3" t="s">
        <v>0</v>
      </c>
      <c r="F12" t="str">
        <f>" "&amp;LEFTB(Sheet1!C9&amp;REPT(" ",$F$2),$F$2)</f>
        <v xml:space="preserve"> Nicki Minaj, Lil Uzi Vert, Isaiah Henry, Jesper “Junior” Mortensen, Tate
                  Kobang                                                                                                                    </v>
      </c>
      <c r="G12" s="3" t="s">
        <v>0</v>
      </c>
      <c r="H12" t="str">
        <f>LEFTB(Sheet1!D9&amp;REPT(" ",$H$2),$H$2)</f>
        <v xml:space="preserve">Nicki Minaj feat. Lil Uzi Vert          </v>
      </c>
      <c r="I12" s="3" t="s">
        <v>0</v>
      </c>
      <c r="J12" s="2" t="str">
        <f>TEXT(Sheet1!E9,"HH:MM")&amp;" "</f>
        <v xml:space="preserve">02:05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Super Freaky Girl  </v>
      </c>
      <c r="E13" s="3" t="s">
        <v>0</v>
      </c>
      <c r="F13" t="str">
        <f>" "&amp;LEFTB(Sheet1!C10&amp;REPT(" ",$F$2),$F$2)</f>
        <v xml:space="preserve"> Nicki Minaj, Dr. Luke, Rick James, Alonzo Miller, Aaron Joseph, Lauren
                  Miller, LunchMoney Lewis, Vaughn Oliver                                                                                       </v>
      </c>
      <c r="G13" s="3" t="s">
        <v>0</v>
      </c>
      <c r="H13" t="str">
        <f>LEFTB(Sheet1!D10&amp;REPT(" ",$H$2),$H$2)</f>
        <v xml:space="preserve">Nicki Minaj                             </v>
      </c>
      <c r="I13" s="3" t="s">
        <v>0</v>
      </c>
      <c r="J13" s="2" t="str">
        <f>TEXT(Sheet1!E10,"HH:MM")&amp;" "</f>
        <v xml:space="preserve">03:55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Bahm Bahm          </v>
      </c>
      <c r="E14" s="3" t="s">
        <v>0</v>
      </c>
      <c r="F14" t="str">
        <f>" "&amp;LEFTB(Sheet1!C11&amp;REPT(" ",$F$2),$F$2)</f>
        <v xml:space="preserve"> Nicki Minaj, Jess Carp, Tate Kobang                                                                                                                                                                                    </v>
      </c>
      <c r="G14" s="3" t="s">
        <v>0</v>
      </c>
      <c r="H14" t="str">
        <f>LEFTB(Sheet1!D11&amp;REPT(" ",$H$2),$H$2)</f>
        <v xml:space="preserve">Nicki Minaj                             </v>
      </c>
      <c r="I14" s="3" t="s">
        <v>0</v>
      </c>
      <c r="J14" s="2" t="str">
        <f>TEXT(Sheet1!E11,"HH:MM")&amp;" "</f>
        <v xml:space="preserve">02:21 </v>
      </c>
      <c r="K14" s="3" t="s">
        <v>0</v>
      </c>
    </row>
    <row r="15" spans="1:11">
      <c r="A15" t="s">
        <v>0</v>
      </c>
      <c r="B15">
        <f>Sheet1!A12</f>
        <v>0</v>
      </c>
      <c r="C15" s="3" t="s">
        <v>0</v>
      </c>
      <c r="D15" s="4" t="str">
        <f>LEFTB(Sheet1!B12&amp;REPT(" ",$D$2),$D$2)</f>
        <v xml:space="preserve">                   </v>
      </c>
      <c r="E15" s="3" t="s">
        <v>0</v>
      </c>
      <c r="F15" t="str">
        <f>" "&amp;LEFTB(Sheet1!C12&amp;REPT(" ",$F$2),$F$2)</f>
        <v xml:space="preserve">                                                                                                                                                                                                                        </v>
      </c>
      <c r="G15" s="3" t="s">
        <v>0</v>
      </c>
      <c r="H15" t="str">
        <f>LEFTB(Sheet1!D12&amp;REPT(" ",$H$2),$H$2)</f>
        <v xml:space="preserve">                                        </v>
      </c>
      <c r="I15" s="3" t="s">
        <v>0</v>
      </c>
      <c r="J15" s="2" t="str">
        <f>TEXT(Sheet1!E12,"HH:MM")&amp;" "</f>
        <v xml:space="preserve">00:00 </v>
      </c>
      <c r="K15" s="3" t="s">
        <v>0</v>
      </c>
    </row>
    <row r="16" spans="1:11">
      <c r="A16" t="s">
        <v>0</v>
      </c>
      <c r="B16">
        <f>Sheet1!A13</f>
        <v>0</v>
      </c>
      <c r="C16" s="3" t="s">
        <v>0</v>
      </c>
      <c r="D16" s="4" t="str">
        <f>LEFTB(Sheet1!B13&amp;REPT(" ",$D$2),$D$2)</f>
        <v xml:space="preserve">                   </v>
      </c>
      <c r="E16" s="3" t="s">
        <v>0</v>
      </c>
      <c r="F16" t="str">
        <f>" "&amp;LEFTB(Sheet1!C13&amp;REPT(" ",$F$2),$F$2)</f>
        <v xml:space="preserve">                                                                                                                                                                                                                        </v>
      </c>
      <c r="G16" s="3" t="s">
        <v>0</v>
      </c>
      <c r="H16" t="str">
        <f>LEFTB(Sheet1!D13&amp;REPT(" ",$H$2),$H$2)</f>
        <v xml:space="preserve">                                        </v>
      </c>
      <c r="I16" s="3" t="s">
        <v>0</v>
      </c>
      <c r="J16" s="2" t="str">
        <f>TEXT(Sheet1!E13,"HH:MM")&amp;" "</f>
        <v xml:space="preserve">00:00 </v>
      </c>
      <c r="K16" s="3" t="s">
        <v>0</v>
      </c>
    </row>
    <row r="17" spans="1:11">
      <c r="A17" t="s">
        <v>0</v>
      </c>
      <c r="B17">
        <f>Sheet1!A14</f>
        <v>0</v>
      </c>
      <c r="C17" s="3" t="s">
        <v>0</v>
      </c>
      <c r="D17" s="4" t="str">
        <f>LEFTB(Sheet1!B14&amp;REPT(" ",$D$2),$D$2)</f>
        <v xml:space="preserve">                   </v>
      </c>
      <c r="E17" s="3" t="s">
        <v>0</v>
      </c>
      <c r="F17" t="str">
        <f>" "&amp;LEFTB(Sheet1!C14&amp;REPT(" ",$F$2),$F$2)</f>
        <v xml:space="preserve">                                                                                                                                                                                                                        </v>
      </c>
      <c r="G17" s="3" t="s">
        <v>0</v>
      </c>
      <c r="H17" t="str">
        <f>LEFTB(Sheet1!D14&amp;REPT(" ",$H$2),$H$2)</f>
        <v xml:space="preserve">                                        </v>
      </c>
      <c r="I17" s="3" t="s">
        <v>0</v>
      </c>
      <c r="J17" s="2" t="str">
        <f>TEXT(Sheet1!E14,"HH:MM")&amp;" "</f>
        <v xml:space="preserve">00:00 </v>
      </c>
      <c r="K17" s="3" t="s">
        <v>0</v>
      </c>
    </row>
    <row r="18" spans="1:11">
      <c r="A18" t="s">
        <v>0</v>
      </c>
      <c r="B18">
        <f>Sheet1!A15</f>
        <v>0</v>
      </c>
      <c r="C18" s="3" t="s">
        <v>0</v>
      </c>
      <c r="D18" t="str">
        <f>LEFTB(Sheet1!B15&amp;REPT(" ",$D$2),$D$2)</f>
        <v xml:space="preserve">                   </v>
      </c>
      <c r="E18" s="3" t="s">
        <v>0</v>
      </c>
      <c r="F18" t="str">
        <f>" "&amp;LEFTB(Sheet1!C15&amp;REPT(" ",$F$2),$F$2)</f>
        <v xml:space="preserve">                                                                                                                                                                                                                        </v>
      </c>
      <c r="G18" s="3" t="s">
        <v>0</v>
      </c>
      <c r="H18" t="str">
        <f>LEFTB(Sheet1!D15&amp;REPT(" ",$H$2),$H$2)</f>
        <v xml:space="preserve">                                        </v>
      </c>
      <c r="I18" s="3" t="s">
        <v>0</v>
      </c>
      <c r="J18" s="2" t="str">
        <f>TEXT(Sheet1!E15,"HH:MM")&amp;" "</f>
        <v xml:space="preserve">00:00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             </v>
      </c>
      <c r="E19" s="3" t="s">
        <v>0</v>
      </c>
      <c r="F19" t="str">
        <f>" "&amp;LEFTB(Sheet1!C16&amp;REPT(" ",$F$2),$F$2)</f>
        <v xml:space="preserve">                                                                                                                                                                                                                        </v>
      </c>
      <c r="G19" s="3" t="s">
        <v>0</v>
      </c>
      <c r="H19" t="str">
        <f>LEFTB(Sheet1!D16&amp;REPT(" ",$H$2),$H$2)</f>
        <v xml:space="preserve">                        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  </v>
      </c>
      <c r="E20" s="3" t="s">
        <v>0</v>
      </c>
      <c r="F20" t="str">
        <f>" "&amp;LEFTB(Sheet1!C17&amp;REPT(" ",$F$2),$F$2)</f>
        <v xml:space="preserve">                                                                                                                  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              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 </v>
      </c>
      <c r="E21" s="3" t="s">
        <v>0</v>
      </c>
      <c r="F21" t="str">
        <f>" "&amp;LEFTB(Sheet1!C18&amp;REPT(" ",$F$2),$F$2)</f>
        <v xml:space="preserve">                                                                                                                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         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 </v>
      </c>
      <c r="E22" s="3" t="s">
        <v>0</v>
      </c>
      <c r="F22" t="str">
        <f>" "&amp;LEFTB(Sheet1!C19&amp;REPT(" ",$F$2),$F$2)</f>
        <v xml:space="preserve">                                                                                                                                                                                                                        </v>
      </c>
      <c r="G22" s="3" t="s">
        <v>0</v>
      </c>
      <c r="H22" t="str">
        <f>LEFTB(Sheet1!D19&amp;REPT(" ",$H$2),$H$2)</f>
        <v xml:space="preserve">         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</v>
      </c>
      <c r="E23" s="3" t="s">
        <v>0</v>
      </c>
      <c r="F23" t="str">
        <f>" "&amp;LEFTB(Sheet1!C20&amp;REPT(" ",$F$2),$F$2)</f>
        <v xml:space="preserve">                                                                                                      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      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      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3B845-BA7F-409B-A442-6316F1256FE7}">
  <dimension ref="A1:E12"/>
  <sheetViews>
    <sheetView workbookViewId="0">
      <selection sqref="A1:XFD1048576"/>
    </sheetView>
  </sheetViews>
  <sheetFormatPr defaultRowHeight="19.8"/>
  <cols>
    <col min="1" max="1" width="10.81640625" bestFit="1" customWidth="1"/>
    <col min="2" max="2" width="19.453125" bestFit="1" customWidth="1"/>
    <col min="3" max="3" width="80.7265625" bestFit="1" customWidth="1"/>
    <col min="4" max="4" width="37.726562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0.16319444444444445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0.13263888888888889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0.14861111111111111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0.1076388888888889</v>
      </c>
    </row>
    <row r="6" spans="1:5">
      <c r="A6">
        <v>5</v>
      </c>
      <c r="B6" s="6" t="s">
        <v>17</v>
      </c>
      <c r="C6" s="6" t="s">
        <v>18</v>
      </c>
      <c r="D6" s="6" t="s">
        <v>19</v>
      </c>
      <c r="E6" s="5">
        <v>0.12777777777777777</v>
      </c>
    </row>
    <row r="7" spans="1:5">
      <c r="A7">
        <v>6</v>
      </c>
      <c r="B7" s="6" t="s">
        <v>20</v>
      </c>
      <c r="C7" s="6" t="s">
        <v>21</v>
      </c>
      <c r="D7" s="6" t="s">
        <v>10</v>
      </c>
      <c r="E7" s="5">
        <v>0.15833333333333333</v>
      </c>
    </row>
    <row r="8" spans="1:5">
      <c r="A8">
        <v>7</v>
      </c>
      <c r="B8" s="6" t="s">
        <v>22</v>
      </c>
      <c r="C8" s="6" t="s">
        <v>23</v>
      </c>
      <c r="D8" s="6" t="s">
        <v>10</v>
      </c>
      <c r="E8" s="5">
        <v>0.12777777777777777</v>
      </c>
    </row>
    <row r="9" spans="1:5">
      <c r="A9">
        <v>8</v>
      </c>
      <c r="B9" s="6" t="s">
        <v>24</v>
      </c>
      <c r="C9" s="6" t="s">
        <v>25</v>
      </c>
      <c r="D9" s="6" t="s">
        <v>26</v>
      </c>
      <c r="E9" s="5">
        <v>8.6805555555555552E-2</v>
      </c>
    </row>
    <row r="10" spans="1:5">
      <c r="A10">
        <v>9</v>
      </c>
      <c r="B10" s="6" t="s">
        <v>27</v>
      </c>
      <c r="C10" s="6" t="s">
        <v>28</v>
      </c>
      <c r="D10" s="6" t="s">
        <v>10</v>
      </c>
      <c r="E10" s="5">
        <v>0.16319444444444445</v>
      </c>
    </row>
    <row r="11" spans="1:5">
      <c r="A11">
        <v>10</v>
      </c>
      <c r="B11" s="6" t="s">
        <v>29</v>
      </c>
      <c r="C11" s="6" t="s">
        <v>30</v>
      </c>
      <c r="D11" s="6" t="s">
        <v>10</v>
      </c>
      <c r="E11" s="5">
        <v>9.7916666666666666E-2</v>
      </c>
    </row>
    <row r="12" spans="1:5">
      <c r="B12" s="6"/>
      <c r="C12" s="6"/>
      <c r="D12" s="6"/>
      <c r="E12" s="5"/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0EA0D-F84C-4DF9-BB18-C5BB3E937DDC}">
  <dimension ref="B2:E19"/>
  <sheetViews>
    <sheetView workbookViewId="0">
      <selection sqref="A1:XFD1048576"/>
    </sheetView>
  </sheetViews>
  <sheetFormatPr defaultRowHeight="19.8"/>
  <cols>
    <col min="1" max="1" width="10.81640625" bestFit="1" customWidth="1"/>
    <col min="2" max="2" width="19.26953125" bestFit="1" customWidth="1"/>
    <col min="3" max="3" width="80.7265625" bestFit="1" customWidth="1"/>
    <col min="4" max="4" width="34.26953125" bestFit="1" customWidth="1"/>
    <col min="5" max="5" width="7.54296875" bestFit="1" customWidth="1"/>
  </cols>
  <sheetData>
    <row r="2" spans="2:5">
      <c r="B2" s="6"/>
      <c r="C2" s="6"/>
      <c r="D2" s="6"/>
      <c r="E2" s="5"/>
    </row>
    <row r="3" spans="2:5">
      <c r="B3" s="6"/>
      <c r="C3" s="6"/>
      <c r="D3" s="6"/>
      <c r="E3" s="5"/>
    </row>
    <row r="4" spans="2:5">
      <c r="B4" s="6"/>
      <c r="C4" s="6"/>
      <c r="D4" s="6"/>
      <c r="E4" s="5"/>
    </row>
    <row r="5" spans="2:5">
      <c r="B5" s="6"/>
      <c r="C5" s="6"/>
      <c r="D5" s="6"/>
      <c r="E5" s="5"/>
    </row>
    <row r="6" spans="2:5">
      <c r="B6" s="6"/>
      <c r="C6" s="6"/>
      <c r="D6" s="6"/>
      <c r="E6" s="5"/>
    </row>
    <row r="7" spans="2:5">
      <c r="B7" s="6"/>
      <c r="C7" s="6"/>
      <c r="D7" s="6"/>
      <c r="E7" s="5"/>
    </row>
    <row r="8" spans="2:5">
      <c r="B8" s="6"/>
      <c r="C8" s="6"/>
      <c r="D8" s="6"/>
      <c r="E8" s="5"/>
    </row>
    <row r="9" spans="2:5">
      <c r="B9" s="6"/>
      <c r="C9" s="6"/>
      <c r="D9" s="6"/>
      <c r="E9" s="5"/>
    </row>
    <row r="10" spans="2:5">
      <c r="B10" s="6"/>
      <c r="C10" s="6"/>
      <c r="D10" s="6"/>
      <c r="E10" s="5"/>
    </row>
    <row r="11" spans="2:5">
      <c r="B11" s="6"/>
      <c r="C11" s="6"/>
      <c r="D11" s="6"/>
      <c r="E11" s="5"/>
    </row>
    <row r="12" spans="2:5">
      <c r="B12" s="6"/>
      <c r="C12" s="6"/>
      <c r="D12" s="6"/>
      <c r="E12" s="5"/>
    </row>
    <row r="13" spans="2:5">
      <c r="B13" s="6"/>
      <c r="C13" s="6"/>
      <c r="D13" s="6"/>
      <c r="E13" s="5"/>
    </row>
    <row r="14" spans="2:5">
      <c r="B14" s="6"/>
      <c r="C14" s="6"/>
      <c r="D14" s="6"/>
      <c r="E14" s="5"/>
    </row>
    <row r="15" spans="2:5">
      <c r="B15" s="6"/>
      <c r="C15" s="6"/>
      <c r="D15" s="6"/>
      <c r="E15" s="5"/>
    </row>
    <row r="16" spans="2:5">
      <c r="B16" s="6"/>
      <c r="C16" s="6"/>
      <c r="D16" s="6"/>
      <c r="E16" s="5"/>
    </row>
    <row r="17" spans="2:5">
      <c r="B17" s="6"/>
      <c r="C17" s="6"/>
      <c r="D17" s="6"/>
      <c r="E17" s="5"/>
    </row>
    <row r="18" spans="2:5">
      <c r="B18" s="6"/>
      <c r="C18" s="6"/>
      <c r="D18" s="6"/>
      <c r="E18" s="5"/>
    </row>
    <row r="19" spans="2:5">
      <c r="B19" s="6"/>
      <c r="C19" s="6"/>
      <c r="D19" s="6"/>
      <c r="E19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Sheet2</vt:lpstr>
      <vt:lpstr>テーブル 5 (13)</vt:lpstr>
      <vt:lpstr>テーブル 5 (11)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2024-07-06T06:49:14Z</dcterms:modified>
</cp:coreProperties>
</file>