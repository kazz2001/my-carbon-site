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A363FA35-98E3-4FE5-AACB-0DE8303179C2}" xr6:coauthVersionLast="47" xr6:coauthVersionMax="47" xr10:uidLastSave="{00000000-0000-0000-0000-000000000000}"/>
  <bookViews>
    <workbookView xWindow="0" yWindow="0" windowWidth="22830" windowHeight="14700" activeTab="1" xr2:uid="{00000000-000D-0000-FFFF-FFFF00000000}"/>
  </bookViews>
  <sheets>
    <sheet name="Sheet1" sheetId="1" r:id="rId1"/>
    <sheet name="Sheet2" sheetId="2" r:id="rId2"/>
    <sheet name="テーブル 5 (21)" sheetId="50" r:id="rId3"/>
    <sheet name="テーブル 5 (19)" sheetId="49" r:id="rId4"/>
    <sheet name="テーブル 5 (17)" sheetId="48" r:id="rId5"/>
    <sheet name="テーブル 5 (15)" sheetId="47" r:id="rId6"/>
    <sheet name="テーブル 5 (13)" sheetId="46" r:id="rId7"/>
    <sheet name="テーブル 5 (11)" sheetId="45" r:id="rId8"/>
  </sheets>
  <definedNames>
    <definedName name="ExternalData_1" localSheetId="2" hidden="1">'テーブル 5 (21)'!$A$1:$E$16</definedName>
    <definedName name="ExternalData_2" localSheetId="0" hidden="1">Sheet1!$A$1:$E$16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95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96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97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98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99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00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<sst xmlns="http://schemas.openxmlformats.org/spreadsheetml/2006/main" count="270" uniqueCount="35">
  <si>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</si>
  <si>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</si>
  <si>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</si>
  <si>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</si>
  <si>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</si>
  <si>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</si>
  <si>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</si>
  <si>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Column1</t>
  </si>
  <si>
    <t>MOOD SWING</t>
  </si>
  <si>
    <t>Jesse Wendell Mapson / Kenete Simms / Tierra Whack</t>
  </si>
  <si>
    <t>Tierra Whack</t>
  </si>
  <si>
    <t>MS BEHAVE</t>
  </si>
  <si>
    <t>Ernest Terrence Hogan / Tierra Whack</t>
  </si>
  <si>
    <t>CHANEL PIT</t>
  </si>
  <si>
    <t>John Verruto / Tierra Whack</t>
  </si>
  <si>
    <t>NUMB</t>
  </si>
  <si>
    <t>Jesse Wendell Mapson / Tierra Whack</t>
  </si>
  <si>
    <t>BURNING BRAINS</t>
  </si>
  <si>
    <t>Mitch Beer / Hank Byerly / Brianna Farruggio / Tierra Whack</t>
  </si>
  <si>
    <t>ACCESSIBLE</t>
  </si>
  <si>
    <t>IMAGINARY FRIENDS</t>
  </si>
  <si>
    <t>Joseph Briggs / Brianna Farruggio / Tierra Whack</t>
  </si>
  <si>
    <t>X</t>
  </si>
  <si>
    <t>Nadav Chatinover / Casey McMillan / Quentin Shermwell / Tierra Whack</t>
  </si>
  <si>
    <t>MOOVIES</t>
  </si>
  <si>
    <t>Casey McMillan / Quentin Shermwell / Tierra Whack</t>
  </si>
  <si>
    <t>DIFFICULT</t>
  </si>
  <si>
    <t>Mitch Beer / Hank Byerly / Jesse Wendell Mapson / Tierra Whack</t>
  </si>
  <si>
    <t>SHOWER SONG</t>
  </si>
  <si>
    <t>INVITATION</t>
  </si>
  <si>
    <t>Brianna Farruggio / Kenete Simms / Tierra Whack</t>
  </si>
  <si>
    <t>SNAKE EYES</t>
  </si>
  <si>
    <t>TWO NIGHT</t>
  </si>
  <si>
    <t>27 CLUB</t>
  </si>
  <si>
    <t>Brianna Farruggio / Jesse Wendell Mapson / Tierra Whack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</si>
</sst>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3" xr16:uid="{65B2595E-2A76-4B2B-B04C-3128C36E75DA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2" xr16:uid="{3363E6FB-669F-47C3-8ECE-BB33C7EB2D06}" autoFormatId="20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893927-20D0-443B-B87B-26EA3AD5A32C}" name="テーブル_5__215" displayName="テーブル_5__215" ref="A1:E16" tableType="queryTable" totalsRowShown="0">
  <autoFilter ref="A1:E16" xr:uid="{46893927-20D0-443B-B87B-26EA3AD5A32C}"/>
  <tableColumns count="5">
    <tableColumn id="1" xr3:uid="{808FFE38-A0E0-42BB-81D7-604BE6AB9158}" uniqueName="1" name="Column1" queryTableFieldId="1"/>
    <tableColumn id="2" xr3:uid="{D53C95FF-C5A0-4634-821E-81473A81A62C}" uniqueName="2" name="Title" queryTableFieldId="2" dataDxfId="3"/>
    <tableColumn id="3" xr3:uid="{6261A695-9889-48CF-89B5-F49D734B3AD0}" uniqueName="3" name="Composer" queryTableFieldId="3" dataDxfId="2"/>
    <tableColumn id="4" xr3:uid="{60B6675A-DDA5-4A89-B4A7-73D46909C468}" uniqueName="4" name="Performer" queryTableFieldId="4" dataDxfId="1"/>
    <tableColumn id="5" xr3:uid="{008FFD39-0F85-4D20-B2E8-50987D5DB2C4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9022042-E34F-4B7D-866C-1CFD5082FE7C}" name="テーブル_5__21" displayName="テーブル_5__21" ref="A1:E16" tableType="queryTable" totalsRowShown="0">
  <autoFilter ref="A1:E16" xr:uid="{B9022042-E34F-4B7D-866C-1CFD5082FE7C}"/>
  <tableColumns count="5">
    <tableColumn id="1" xr3:uid="{72D6A1CC-46A1-41F1-A391-3D6D7CCD7EB3}" uniqueName="1" name="Column1" queryTableFieldId="1"/>
    <tableColumn id="2" xr3:uid="{97B43AA9-2FD9-4CD0-9251-DEEE7D426C46}" uniqueName="2" name="Title" queryTableFieldId="2" dataDxfId="7"/>
    <tableColumn id="3" xr3:uid="{2BE0CB7B-7C19-4649-A76B-5C6CE66013B3}" uniqueName="3" name="Composer" queryTableFieldId="3" dataDxfId="6"/>
    <tableColumn id="4" xr3:uid="{26DF88EC-19EC-4679-821F-B7AFB3E886DF}" uniqueName="4" name="Performer" queryTableFieldId="4" dataDxfId="5"/>
    <tableColumn id="5" xr3:uid="{97BB54CD-8D89-44EB-ACE6-22973A7ABE5D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88671875" bestFit="1" customWidth="1"/>
    <col min="3" max="3" width="66.77734375" bestFit="1" customWidth="1"/>
    <col min="4" max="4" width="12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0.05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0.10347222222222222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0.11597222222222223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6.9444444444444448E-2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7.9861111111111105E-2</v>
      </c>
    </row>
    <row r="7" spans="1:5">
      <c r="A7">
        <v>6</v>
      </c>
      <c r="B7" s="6" t="s">
        <v>19</v>
      </c>
      <c r="C7" s="6" t="s">
        <v>9</v>
      </c>
      <c r="D7" s="6" t="s">
        <v>10</v>
      </c>
      <c r="E7" s="5">
        <v>0.11597222222222223</v>
      </c>
    </row>
    <row r="8" spans="1:5">
      <c r="A8">
        <v>7</v>
      </c>
      <c r="B8" s="6" t="s">
        <v>20</v>
      </c>
      <c r="C8" s="6" t="s">
        <v>21</v>
      </c>
      <c r="D8" s="6" t="s">
        <v>10</v>
      </c>
      <c r="E8" s="5">
        <v>0.1111111111111111</v>
      </c>
    </row>
    <row r="9" spans="1:5">
      <c r="A9">
        <v>8</v>
      </c>
      <c r="B9" s="6" t="s">
        <v>22</v>
      </c>
      <c r="C9" s="6" t="s">
        <v>23</v>
      </c>
      <c r="D9" s="6" t="s">
        <v>10</v>
      </c>
      <c r="E9" s="5">
        <v>0.10069444444444445</v>
      </c>
    </row>
    <row r="10" spans="1:5">
      <c r="A10">
        <v>9</v>
      </c>
      <c r="B10" s="6" t="s">
        <v>24</v>
      </c>
      <c r="C10" s="6" t="s">
        <v>25</v>
      </c>
      <c r="D10" s="6" t="s">
        <v>10</v>
      </c>
      <c r="E10" s="5">
        <v>0.12152777777777778</v>
      </c>
    </row>
    <row r="11" spans="1:5">
      <c r="A11">
        <v>10</v>
      </c>
      <c r="B11" s="6" t="s">
        <v>26</v>
      </c>
      <c r="C11" s="6" t="s">
        <v>27</v>
      </c>
      <c r="D11" s="6" t="s">
        <v>10</v>
      </c>
      <c r="E11" s="5">
        <v>0.12222222222222222</v>
      </c>
    </row>
    <row r="12" spans="1:5">
      <c r="A12">
        <v>11</v>
      </c>
      <c r="B12" s="6" t="s">
        <v>28</v>
      </c>
      <c r="C12" s="6" t="s">
        <v>16</v>
      </c>
      <c r="D12" s="6" t="s">
        <v>10</v>
      </c>
      <c r="E12" s="5">
        <v>0.11319444444444444</v>
      </c>
    </row>
    <row r="13" spans="1:5">
      <c r="A13">
        <v>12</v>
      </c>
      <c r="B13" s="6" t="s">
        <v>29</v>
      </c>
      <c r="C13" s="6" t="s">
        <v>30</v>
      </c>
      <c r="D13" s="6" t="s">
        <v>10</v>
      </c>
      <c r="E13" s="5">
        <v>0.11041666666666666</v>
      </c>
    </row>
    <row r="14" spans="1:5">
      <c r="A14">
        <v>13</v>
      </c>
      <c r="B14" s="6" t="s">
        <v>31</v>
      </c>
      <c r="C14" s="6" t="s">
        <v>16</v>
      </c>
      <c r="D14" s="6" t="s">
        <v>10</v>
      </c>
      <c r="E14" s="5">
        <v>0.10972222222222222</v>
      </c>
    </row>
    <row r="15" spans="1:5">
      <c r="A15">
        <v>14</v>
      </c>
      <c r="B15" s="6" t="s">
        <v>32</v>
      </c>
      <c r="C15" s="6" t="s">
        <v>14</v>
      </c>
      <c r="D15" s="6" t="s">
        <v>10</v>
      </c>
      <c r="E15" s="5">
        <v>0.14374999999999999</v>
      </c>
    </row>
    <row r="16" spans="1:5">
      <c r="A16">
        <v>15</v>
      </c>
      <c r="B16" s="6" t="s">
        <v>33</v>
      </c>
      <c r="C16" s="6" t="s">
        <v>34</v>
      </c>
      <c r="D16" s="6" t="s">
        <v>10</v>
      </c>
      <c r="E16" s="5">
        <v>0.10625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9" sqref="A3:K19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17</v>
      </c>
      <c r="F2" s="1">
        <f t="array" ref="F2">MAX(LENB(Sheet1!C1:'Sheet1'!C30))</f>
        <v>68</v>
      </c>
      <c r="H2" s="1">
        <f t="array" ref="H2">MAX(LENB(Sheet1!D1:'Sheet1'!D30))</f>
        <v>12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</v>
      </c>
      <c r="G3" s="3" t="s">
        <v>0</v>
      </c>
      <c r="H3" t="str">
        <f>" "&amp;LEFTB("Performer"&amp;REPT(" ",$H$2),$H$2)</f>
        <v xml:space="preserve"> Performer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 </v>
      </c>
      <c r="E4" s="3" t="s">
        <v>0</v>
      </c>
      <c r="F4" t="str">
        <f>" "&amp;REPT("-",$F$2)&amp;" "</f>
        <v xml:space="preserve"> -------------------------------------------------------------------- </v>
      </c>
      <c r="G4" s="3" t="s">
        <v>0</v>
      </c>
      <c r="H4" t="str">
        <f>" "&amp;REPT("-",$H$2)&amp;" "</f>
        <v xml:space="preserve"> 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MOOD SWING       </v>
      </c>
      <c r="E5" s="3" t="s">
        <v>0</v>
      </c>
      <c r="F5" t="str">
        <f>" "&amp;LEFTB(Sheet1!C2&amp;REPT(" ",$F$2),$F$2)</f>
        <v xml:space="preserve"> Jesse Wendell Mapson / Kenete Simms / Tierra Whack                  </v>
      </c>
      <c r="G5" s="3" t="s">
        <v>0</v>
      </c>
      <c r="H5" t="str">
        <f>LEFTB(Sheet1!D2&amp;REPT(" ",$H$2),$H$2)</f>
        <v>Tierra Whack</v>
      </c>
      <c r="I5" s="3" t="s">
        <v>0</v>
      </c>
      <c r="J5" s="2" t="str">
        <f>TEXT(Sheet1!E2,"HH:MM")&amp;" "</f>
        <v xml:space="preserve">01:12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MS BEHAVE        </v>
      </c>
      <c r="E6" s="3" t="s">
        <v>0</v>
      </c>
      <c r="F6" t="str">
        <f>" "&amp;LEFTB(Sheet1!C3&amp;REPT(" ",$F$2),$F$2)</f>
        <v xml:space="preserve"> Ernest Terrence Hogan / Tierra Whack                                </v>
      </c>
      <c r="G6" s="3" t="s">
        <v>0</v>
      </c>
      <c r="H6" t="str">
        <f>LEFTB(Sheet1!D3&amp;REPT(" ",$H$2),$H$2)</f>
        <v>Tierra Whack</v>
      </c>
      <c r="I6" s="3" t="s">
        <v>0</v>
      </c>
      <c r="J6" s="2" t="str">
        <f>TEXT(Sheet1!E3,"HH:MM")&amp;" "</f>
        <v xml:space="preserve">02:29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CHANEL PIT       </v>
      </c>
      <c r="E7" s="3" t="s">
        <v>0</v>
      </c>
      <c r="F7" t="str">
        <f>" "&amp;LEFTB(Sheet1!C4&amp;REPT(" ",$F$2),$F$2)</f>
        <v xml:space="preserve"> John Verruto / Tierra Whack                                         </v>
      </c>
      <c r="G7" s="3" t="s">
        <v>0</v>
      </c>
      <c r="H7" t="str">
        <f>LEFTB(Sheet1!D4&amp;REPT(" ",$H$2),$H$2)</f>
        <v>Tierra Whack</v>
      </c>
      <c r="I7" s="3" t="s">
        <v>0</v>
      </c>
      <c r="J7" s="2" t="str">
        <f>TEXT(Sheet1!E4,"HH:MM")&amp;" "</f>
        <v xml:space="preserve">02:47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NUMB             </v>
      </c>
      <c r="E8" s="3" t="s">
        <v>0</v>
      </c>
      <c r="F8" t="str">
        <f>" "&amp;LEFTB(Sheet1!C5&amp;REPT(" ",$F$2),$F$2)</f>
        <v xml:space="preserve"> Jesse Wendell Mapson / Tierra Whack                                 </v>
      </c>
      <c r="G8" s="3" t="s">
        <v>0</v>
      </c>
      <c r="H8" t="str">
        <f>LEFTB(Sheet1!D5&amp;REPT(" ",$H$2),$H$2)</f>
        <v>Tierra Whack</v>
      </c>
      <c r="I8" s="3" t="s">
        <v>0</v>
      </c>
      <c r="J8" s="2" t="str">
        <f>TEXT(Sheet1!E5,"HH:MM")&amp;" "</f>
        <v xml:space="preserve">01:40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BURNING BRAINS   </v>
      </c>
      <c r="E9" s="3" t="s">
        <v>0</v>
      </c>
      <c r="F9" t="str">
        <f>" "&amp;LEFTB(Sheet1!C6&amp;REPT(" ",$F$2),$F$2)</f>
        <v xml:space="preserve"> Mitch Beer / Hank Byerly / Brianna Farruggio / Tierra Whack         </v>
      </c>
      <c r="G9" s="3" t="s">
        <v>0</v>
      </c>
      <c r="H9" t="str">
        <f>LEFTB(Sheet1!D6&amp;REPT(" ",$H$2),$H$2)</f>
        <v>Tierra Whack</v>
      </c>
      <c r="I9" s="3" t="s">
        <v>0</v>
      </c>
      <c r="J9" s="2" t="str">
        <f>TEXT(Sheet1!E6,"HH:MM")&amp;" "</f>
        <v xml:space="preserve">01:55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 xml:space="preserve">ACCESSIBLE       </v>
      </c>
      <c r="E10" s="3" t="s">
        <v>0</v>
      </c>
      <c r="F10" t="str">
        <f>" "&amp;LEFTB(Sheet1!C7&amp;REPT(" ",$F$2),$F$2)</f>
        <v xml:space="preserve"> Jesse Wendell Mapson / Kenete Simms / Tierra Whack                  </v>
      </c>
      <c r="G10" s="3" t="s">
        <v>0</v>
      </c>
      <c r="H10" t="str">
        <f>LEFTB(Sheet1!D7&amp;REPT(" ",$H$2),$H$2)</f>
        <v>Tierra Whack</v>
      </c>
      <c r="I10" s="3" t="s">
        <v>0</v>
      </c>
      <c r="J10" s="2" t="str">
        <f>TEXT(Sheet1!E7,"HH:MM")&amp;" "</f>
        <v xml:space="preserve">02:47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>IMAGINARY FRIENDS</v>
      </c>
      <c r="E11" s="3" t="s">
        <v>0</v>
      </c>
      <c r="F11" t="str">
        <f>" "&amp;LEFTB(Sheet1!C8&amp;REPT(" ",$F$2),$F$2)</f>
        <v xml:space="preserve"> Joseph Briggs / Brianna Farruggio / Tierra Whack                    </v>
      </c>
      <c r="G11" s="3" t="s">
        <v>0</v>
      </c>
      <c r="H11" t="str">
        <f>LEFTB(Sheet1!D8&amp;REPT(" ",$H$2),$H$2)</f>
        <v>Tierra Whack</v>
      </c>
      <c r="I11" s="3" t="s">
        <v>0</v>
      </c>
      <c r="J11" s="2" t="str">
        <f>TEXT(Sheet1!E8,"HH:MM")&amp;" "</f>
        <v xml:space="preserve">02:40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X                </v>
      </c>
      <c r="E12" s="3" t="s">
        <v>0</v>
      </c>
      <c r="F12" t="str">
        <f>" "&amp;LEFTB(Sheet1!C9&amp;REPT(" ",$F$2),$F$2)</f>
        <v xml:space="preserve"> Nadav Chatinover / Casey McMillan / Quentin Shermwell / Tierra Whack</v>
      </c>
      <c r="G12" s="3" t="s">
        <v>0</v>
      </c>
      <c r="H12" t="str">
        <f>LEFTB(Sheet1!D9&amp;REPT(" ",$H$2),$H$2)</f>
        <v>Tierra Whack</v>
      </c>
      <c r="I12" s="3" t="s">
        <v>0</v>
      </c>
      <c r="J12" s="2" t="str">
        <f>TEXT(Sheet1!E9,"HH:MM")&amp;" "</f>
        <v xml:space="preserve">02:25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MOOVIES          </v>
      </c>
      <c r="E13" s="3" t="s">
        <v>0</v>
      </c>
      <c r="F13" t="str">
        <f>" "&amp;LEFTB(Sheet1!C10&amp;REPT(" ",$F$2),$F$2)</f>
        <v xml:space="preserve"> Casey McMillan / Quentin Shermwell / Tierra Whack                   </v>
      </c>
      <c r="G13" s="3" t="s">
        <v>0</v>
      </c>
      <c r="H13" t="str">
        <f>LEFTB(Sheet1!D10&amp;REPT(" ",$H$2),$H$2)</f>
        <v>Tierra Whack</v>
      </c>
      <c r="I13" s="3" t="s">
        <v>0</v>
      </c>
      <c r="J13" s="2" t="str">
        <f>TEXT(Sheet1!E10,"HH:MM")&amp;" "</f>
        <v xml:space="preserve">02:55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DIFFICULT        </v>
      </c>
      <c r="E14" s="3" t="s">
        <v>0</v>
      </c>
      <c r="F14" t="str">
        <f>" "&amp;LEFTB(Sheet1!C11&amp;REPT(" ",$F$2),$F$2)</f>
        <v xml:space="preserve"> Mitch Beer / Hank Byerly / Jesse Wendell Mapson / Tierra Whack      </v>
      </c>
      <c r="G14" s="3" t="s">
        <v>0</v>
      </c>
      <c r="H14" t="str">
        <f>LEFTB(Sheet1!D11&amp;REPT(" ",$H$2),$H$2)</f>
        <v>Tierra Whack</v>
      </c>
      <c r="I14" s="3" t="s">
        <v>0</v>
      </c>
      <c r="J14" s="2" t="str">
        <f>TEXT(Sheet1!E11,"HH:MM")&amp;" "</f>
        <v xml:space="preserve">02:56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SHOWER SONG      </v>
      </c>
      <c r="E15" s="3" t="s">
        <v>0</v>
      </c>
      <c r="F15" t="str">
        <f>" "&amp;LEFTB(Sheet1!C12&amp;REPT(" ",$F$2),$F$2)</f>
        <v xml:space="preserve"> Jesse Wendell Mapson / Tierra Whack                                 </v>
      </c>
      <c r="G15" s="3" t="s">
        <v>0</v>
      </c>
      <c r="H15" t="str">
        <f>LEFTB(Sheet1!D12&amp;REPT(" ",$H$2),$H$2)</f>
        <v>Tierra Whack</v>
      </c>
      <c r="I15" s="3" t="s">
        <v>0</v>
      </c>
      <c r="J15" s="2" t="str">
        <f>TEXT(Sheet1!E12,"HH:MM")&amp;" "</f>
        <v xml:space="preserve">02:43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INVITATION       </v>
      </c>
      <c r="E16" s="3" t="s">
        <v>0</v>
      </c>
      <c r="F16" t="str">
        <f>" "&amp;LEFTB(Sheet1!C13&amp;REPT(" ",$F$2),$F$2)</f>
        <v xml:space="preserve"> Brianna Farruggio / Kenete Simms / Tierra Whack                     </v>
      </c>
      <c r="G16" s="3" t="s">
        <v>0</v>
      </c>
      <c r="H16" t="str">
        <f>LEFTB(Sheet1!D13&amp;REPT(" ",$H$2),$H$2)</f>
        <v>Tierra Whack</v>
      </c>
      <c r="I16" s="3" t="s">
        <v>0</v>
      </c>
      <c r="J16" s="2" t="str">
        <f>TEXT(Sheet1!E13,"HH:MM")&amp;" "</f>
        <v xml:space="preserve">02:39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SNAKE EYES       </v>
      </c>
      <c r="E17" s="3" t="s">
        <v>0</v>
      </c>
      <c r="F17" t="str">
        <f>" "&amp;LEFTB(Sheet1!C14&amp;REPT(" ",$F$2),$F$2)</f>
        <v xml:space="preserve"> Jesse Wendell Mapson / Tierra Whack                                 </v>
      </c>
      <c r="G17" s="3" t="s">
        <v>0</v>
      </c>
      <c r="H17" t="str">
        <f>LEFTB(Sheet1!D14&amp;REPT(" ",$H$2),$H$2)</f>
        <v>Tierra Whack</v>
      </c>
      <c r="I17" s="3" t="s">
        <v>0</v>
      </c>
      <c r="J17" s="2" t="str">
        <f>TEXT(Sheet1!E14,"HH:MM")&amp;" "</f>
        <v xml:space="preserve">02:38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TWO NIGHT        </v>
      </c>
      <c r="E18" s="3" t="s">
        <v>0</v>
      </c>
      <c r="F18" t="str">
        <f>" "&amp;LEFTB(Sheet1!C15&amp;REPT(" ",$F$2),$F$2)</f>
        <v xml:space="preserve"> John Verruto / Tierra Whack                                         </v>
      </c>
      <c r="G18" s="3" t="s">
        <v>0</v>
      </c>
      <c r="H18" t="str">
        <f>LEFTB(Sheet1!D15&amp;REPT(" ",$H$2),$H$2)</f>
        <v>Tierra Whack</v>
      </c>
      <c r="I18" s="3" t="s">
        <v>0</v>
      </c>
      <c r="J18" s="2" t="str">
        <f>TEXT(Sheet1!E15,"HH:MM")&amp;" "</f>
        <v xml:space="preserve">03:27 </v>
      </c>
      <c r="K18" s="3" t="s">
        <v>0</v>
      </c>
    </row>
    <row r="19" spans="1:11">
      <c r="A19" t="s">
        <v>0</v>
      </c>
      <c r="B19">
        <f>Sheet1!A16</f>
        <v>15</v>
      </c>
      <c r="C19" s="3" t="s">
        <v>0</v>
      </c>
      <c r="D19" t="str">
        <f>LEFTB(Sheet1!B16&amp;REPT(" ",$D$2),$D$2)</f>
        <v xml:space="preserve">27 CLUB          </v>
      </c>
      <c r="E19" s="3" t="s">
        <v>0</v>
      </c>
      <c r="F19" t="str">
        <f>" "&amp;LEFTB(Sheet1!C16&amp;REPT(" ",$F$2),$F$2)</f>
        <v xml:space="preserve"> Brianna Farruggio / Jesse Wendell Mapson / Tierra Whack             </v>
      </c>
      <c r="G19" s="3" t="s">
        <v>0</v>
      </c>
      <c r="H19" t="str">
        <f>LEFTB(Sheet1!D16&amp;REPT(" ",$H$2),$H$2)</f>
        <v>Tierra Whack</v>
      </c>
      <c r="I19" s="3" t="s">
        <v>0</v>
      </c>
      <c r="J19" s="2" t="str">
        <f>TEXT(Sheet1!E16,"HH:MM")&amp;" "</f>
        <v xml:space="preserve">02:33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</v>
      </c>
      <c r="G20" s="3" t="s">
        <v>0</v>
      </c>
      <c r="H20" t="str">
        <f>LEFTB(Sheet1!D17&amp;REPT(" ",$H$2),$H$2)</f>
        <v xml:space="preserve">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</v>
      </c>
      <c r="G21" s="3" t="s">
        <v>0</v>
      </c>
      <c r="H21" t="str">
        <f>LEFTB(Sheet1!D18&amp;REPT(" ",$H$2),$H$2)</f>
        <v xml:space="preserve">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</v>
      </c>
      <c r="G22" s="3" t="s">
        <v>0</v>
      </c>
      <c r="H22" t="str">
        <f>LEFTB(Sheet1!D19&amp;REPT(" ",$H$2),$H$2)</f>
        <v xml:space="preserve">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</v>
      </c>
      <c r="G23" s="3" t="s">
        <v>0</v>
      </c>
      <c r="H23" t="str">
        <f>LEFTB(Sheet1!D20&amp;REPT(" ",$H$2),$H$2)</f>
        <v xml:space="preserve">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</v>
      </c>
      <c r="G24" s="3" t="s">
        <v>0</v>
      </c>
      <c r="H24" t="str">
        <f>LEFTB(Sheet1!D21&amp;REPT(" ",$H$2),$H$2)</f>
        <v xml:space="preserve">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</v>
      </c>
      <c r="G25" s="3" t="s">
        <v>0</v>
      </c>
      <c r="H25" t="str">
        <f>LEFTB(Sheet1!D22&amp;REPT(" ",$H$2),$H$2)</f>
        <v xml:space="preserve">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</v>
      </c>
      <c r="G26" s="3" t="s">
        <v>0</v>
      </c>
      <c r="H26" t="str">
        <f>LEFTB(Sheet1!D23&amp;REPT(" ",$H$2),$H$2)</f>
        <v xml:space="preserve">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</v>
      </c>
      <c r="G27" s="3" t="s">
        <v>0</v>
      </c>
      <c r="H27" t="str">
        <f>LEFTB(Sheet1!D24&amp;REPT(" ",$H$2),$H$2)</f>
        <v xml:space="preserve">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</v>
      </c>
      <c r="G28" s="3" t="s">
        <v>0</v>
      </c>
      <c r="H28" t="str">
        <f>LEFTB(Sheet1!D25&amp;REPT(" ",$H$2),$H$2)</f>
        <v xml:space="preserve">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</v>
      </c>
      <c r="G29" s="3" t="s">
        <v>0</v>
      </c>
      <c r="H29" t="str">
        <f>LEFTB(Sheet1!D26&amp;REPT(" ",$H$2),$H$2)</f>
        <v xml:space="preserve">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</v>
      </c>
      <c r="G30" s="3" t="s">
        <v>0</v>
      </c>
      <c r="H30" t="str">
        <f>LEFTB(Sheet1!D27&amp;REPT(" ",$H$2),$H$2)</f>
        <v xml:space="preserve">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E28C0-56D2-45F0-9106-D51906E52FD4}">
  <dimension ref="A1:E16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88671875" bestFit="1" customWidth="1"/>
    <col min="3" max="3" width="66.77734375" bestFit="1" customWidth="1"/>
    <col min="4" max="4" width="12.66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0.05</v>
      </c>
    </row>
    <row r="3" spans="1:5">
      <c r="A3">
        <v>2</v>
      </c>
      <c r="B3" s="6" t="s">
        <v>11</v>
      </c>
      <c r="C3" s="6" t="s">
        <v>12</v>
      </c>
      <c r="D3" s="6" t="s">
        <v>10</v>
      </c>
      <c r="E3" s="5">
        <v>0.10347222222222222</v>
      </c>
    </row>
    <row r="4" spans="1:5">
      <c r="A4">
        <v>3</v>
      </c>
      <c r="B4" s="6" t="s">
        <v>13</v>
      </c>
      <c r="C4" s="6" t="s">
        <v>14</v>
      </c>
      <c r="D4" s="6" t="s">
        <v>10</v>
      </c>
      <c r="E4" s="5">
        <v>0.11597222222222223</v>
      </c>
    </row>
    <row r="5" spans="1:5">
      <c r="A5">
        <v>4</v>
      </c>
      <c r="B5" s="6" t="s">
        <v>15</v>
      </c>
      <c r="C5" s="6" t="s">
        <v>16</v>
      </c>
      <c r="D5" s="6" t="s">
        <v>10</v>
      </c>
      <c r="E5" s="5">
        <v>6.9444444444444448E-2</v>
      </c>
    </row>
    <row r="6" spans="1:5">
      <c r="A6">
        <v>5</v>
      </c>
      <c r="B6" s="6" t="s">
        <v>17</v>
      </c>
      <c r="C6" s="6" t="s">
        <v>18</v>
      </c>
      <c r="D6" s="6" t="s">
        <v>10</v>
      </c>
      <c r="E6" s="5">
        <v>7.9861111111111105E-2</v>
      </c>
    </row>
    <row r="7" spans="1:5">
      <c r="A7">
        <v>6</v>
      </c>
      <c r="B7" s="6" t="s">
        <v>19</v>
      </c>
      <c r="C7" s="6" t="s">
        <v>9</v>
      </c>
      <c r="D7" s="6" t="s">
        <v>10</v>
      </c>
      <c r="E7" s="5">
        <v>0.11597222222222223</v>
      </c>
    </row>
    <row r="8" spans="1:5">
      <c r="A8">
        <v>7</v>
      </c>
      <c r="B8" s="6" t="s">
        <v>20</v>
      </c>
      <c r="C8" s="6" t="s">
        <v>21</v>
      </c>
      <c r="D8" s="6" t="s">
        <v>10</v>
      </c>
      <c r="E8" s="5">
        <v>0.1111111111111111</v>
      </c>
    </row>
    <row r="9" spans="1:5">
      <c r="A9">
        <v>8</v>
      </c>
      <c r="B9" s="6" t="s">
        <v>22</v>
      </c>
      <c r="C9" s="6" t="s">
        <v>23</v>
      </c>
      <c r="D9" s="6" t="s">
        <v>10</v>
      </c>
      <c r="E9" s="5">
        <v>0.10069444444444445</v>
      </c>
    </row>
    <row r="10" spans="1:5">
      <c r="A10">
        <v>9</v>
      </c>
      <c r="B10" s="6" t="s">
        <v>24</v>
      </c>
      <c r="C10" s="6" t="s">
        <v>25</v>
      </c>
      <c r="D10" s="6" t="s">
        <v>10</v>
      </c>
      <c r="E10" s="5">
        <v>0.12152777777777778</v>
      </c>
    </row>
    <row r="11" spans="1:5">
      <c r="A11">
        <v>10</v>
      </c>
      <c r="B11" s="6" t="s">
        <v>26</v>
      </c>
      <c r="C11" s="6" t="s">
        <v>27</v>
      </c>
      <c r="D11" s="6" t="s">
        <v>10</v>
      </c>
      <c r="E11" s="5">
        <v>0.12222222222222222</v>
      </c>
    </row>
    <row r="12" spans="1:5">
      <c r="A12">
        <v>11</v>
      </c>
      <c r="B12" s="6" t="s">
        <v>28</v>
      </c>
      <c r="C12" s="6" t="s">
        <v>16</v>
      </c>
      <c r="D12" s="6" t="s">
        <v>10</v>
      </c>
      <c r="E12" s="5">
        <v>0.11319444444444444</v>
      </c>
    </row>
    <row r="13" spans="1:5">
      <c r="A13">
        <v>12</v>
      </c>
      <c r="B13" s="6" t="s">
        <v>29</v>
      </c>
      <c r="C13" s="6" t="s">
        <v>30</v>
      </c>
      <c r="D13" s="6" t="s">
        <v>10</v>
      </c>
      <c r="E13" s="5">
        <v>0.11041666666666666</v>
      </c>
    </row>
    <row r="14" spans="1:5">
      <c r="A14">
        <v>13</v>
      </c>
      <c r="B14" s="6" t="s">
        <v>31</v>
      </c>
      <c r="C14" s="6" t="s">
        <v>16</v>
      </c>
      <c r="D14" s="6" t="s">
        <v>10</v>
      </c>
      <c r="E14" s="5">
        <v>0.10972222222222222</v>
      </c>
    </row>
    <row r="15" spans="1:5">
      <c r="A15">
        <v>14</v>
      </c>
      <c r="B15" s="6" t="s">
        <v>32</v>
      </c>
      <c r="C15" s="6" t="s">
        <v>14</v>
      </c>
      <c r="D15" s="6" t="s">
        <v>10</v>
      </c>
      <c r="E15" s="5">
        <v>0.14374999999999999</v>
      </c>
    </row>
    <row r="16" spans="1:5">
      <c r="A16">
        <v>15</v>
      </c>
      <c r="B16" s="6" t="s">
        <v>33</v>
      </c>
      <c r="C16" s="6" t="s">
        <v>34</v>
      </c>
      <c r="D16" s="6" t="s">
        <v>10</v>
      </c>
      <c r="E16" s="5">
        <v>0.10625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871-CB93-4EE6-ABFD-2A3F3EBC1B3A}">
  <dimension ref="B2:E17"/>
  <sheetViews>
    <sheetView workbookViewId="0">
      <selection sqref="A1:XFD1048576"/>
    </sheetView>
  </sheetViews>
  <sheetFormatPr defaultRowHeight="19.5"/>
  <cols>
    <col min="1" max="1" width="11" bestFit="1" customWidth="1"/>
    <col min="2" max="2" width="20.5546875" bestFit="1" customWidth="1"/>
    <col min="3" max="3" width="80.88671875" bestFit="1" customWidth="1"/>
    <col min="4" max="4" width="23.109375" bestFit="1" customWidth="1"/>
    <col min="5" max="5" width="7.77734375" bestFit="1" customWidth="1"/>
  </cols>
  <sheetData>
    <row r="2" spans="2:5">
      <c r="B2" s="6"/>
      <c r="C2" s="6"/>
      <c r="D2" s="6"/>
      <c r="E2" s="5"/>
    </row>
    <row r="3" spans="2:5">
      <c r="B3" s="6"/>
      <c r="C3" s="6"/>
      <c r="D3" s="6"/>
      <c r="E3" s="5"/>
    </row>
    <row r="4" spans="2:5">
      <c r="B4" s="6"/>
      <c r="C4" s="6"/>
      <c r="D4" s="6"/>
      <c r="E4" s="5"/>
    </row>
    <row r="5" spans="2:5">
      <c r="B5" s="6"/>
      <c r="C5" s="6"/>
      <c r="D5" s="6"/>
      <c r="E5" s="5"/>
    </row>
    <row r="6" spans="2:5">
      <c r="B6" s="6"/>
      <c r="C6" s="6"/>
      <c r="D6" s="6"/>
      <c r="E6" s="5"/>
    </row>
    <row r="7" spans="2:5">
      <c r="B7" s="6"/>
      <c r="C7" s="6"/>
      <c r="D7" s="6"/>
      <c r="E7" s="5"/>
    </row>
    <row r="8" spans="2:5">
      <c r="B8" s="6"/>
      <c r="C8" s="6"/>
      <c r="D8" s="6"/>
      <c r="E8" s="5"/>
    </row>
    <row r="9" spans="2:5">
      <c r="B9" s="6"/>
      <c r="C9" s="6"/>
      <c r="D9" s="6"/>
      <c r="E9" s="5"/>
    </row>
    <row r="10" spans="2:5">
      <c r="B10" s="6"/>
      <c r="C10" s="6"/>
      <c r="D10" s="6"/>
      <c r="E10" s="5"/>
    </row>
    <row r="11" spans="2:5">
      <c r="B11" s="6"/>
      <c r="C11" s="6"/>
      <c r="D11" s="6"/>
      <c r="E11" s="5"/>
    </row>
    <row r="12" spans="2:5">
      <c r="B12" s="6"/>
      <c r="C12" s="6"/>
      <c r="D12" s="6"/>
      <c r="E12" s="5"/>
    </row>
    <row r="13" spans="2:5">
      <c r="B13" s="6"/>
      <c r="C13" s="6"/>
      <c r="D13" s="6"/>
      <c r="E13" s="5"/>
    </row>
    <row r="14" spans="2:5">
      <c r="B14" s="6"/>
      <c r="C14" s="6"/>
      <c r="D14" s="6"/>
      <c r="E14" s="5"/>
    </row>
    <row r="15" spans="2:5">
      <c r="B15" s="6"/>
      <c r="C15" s="6"/>
      <c r="D15" s="6"/>
      <c r="E15" s="5"/>
    </row>
    <row r="16" spans="2:5">
      <c r="B16" s="6"/>
      <c r="C16" s="6"/>
      <c r="D16" s="6"/>
      <c r="E16" s="5"/>
    </row>
    <row r="17" spans="2:5">
      <c r="B17" s="6"/>
      <c r="C17" s="6"/>
      <c r="D17" s="6"/>
      <c r="E17" s="5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0278D-A4A0-44D4-BF33-AF0BAF22AFED}">
  <dimension ref="E2:E11"/>
  <sheetViews>
    <sheetView workbookViewId="0"/>
  </sheetViews>
  <sheetFormatPr defaultRowHeight="19.5"/>
  <cols>
    <col min="1" max="1" width="10.77734375" bestFit="1" customWidth="1"/>
    <col min="2" max="2" width="15.77734375" bestFit="1" customWidth="1"/>
    <col min="3" max="3" width="39.77734375" bestFit="1" customWidth="1"/>
    <col min="4" max="4" width="43.886718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D23A-6AA9-4C55-82F7-89C9B671BF6C}">
  <dimension ref="E2:E15"/>
  <sheetViews>
    <sheetView workbookViewId="0"/>
  </sheetViews>
  <sheetFormatPr defaultRowHeight="19.5"/>
  <cols>
    <col min="1" max="1" width="10.77734375" bestFit="1" customWidth="1"/>
    <col min="2" max="2" width="14.33203125" bestFit="1" customWidth="1"/>
    <col min="3" max="3" width="80.77734375" bestFit="1" customWidth="1"/>
    <col min="4" max="4" width="36.4414062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B845-BA7F-409B-A442-6316F1256FE7}">
  <dimension ref="E2:E12"/>
  <sheetViews>
    <sheetView workbookViewId="0"/>
  </sheetViews>
  <sheetFormatPr defaultRowHeight="19.5"/>
  <cols>
    <col min="1" max="1" width="10.77734375" bestFit="1" customWidth="1"/>
    <col min="2" max="2" width="19.44140625" bestFit="1" customWidth="1"/>
    <col min="3" max="3" width="80.77734375" bestFit="1" customWidth="1"/>
    <col min="4" max="4" width="37.777343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0EA0D-F84C-4DF9-BB18-C5BB3E937DDC}">
  <dimension ref="E2:E19"/>
  <sheetViews>
    <sheetView workbookViewId="0">
      <selection sqref="A1:XFD1048576"/>
    </sheetView>
  </sheetViews>
  <sheetFormatPr defaultRowHeight="19.5"/>
  <cols>
    <col min="1" max="1" width="10.77734375" bestFit="1" customWidth="1"/>
    <col min="2" max="2" width="19.21875" bestFit="1" customWidth="1"/>
    <col min="3" max="3" width="80.77734375" bestFit="1" customWidth="1"/>
    <col min="4" max="4" width="34.21875" bestFit="1" customWidth="1"/>
    <col min="5" max="5" width="7.55468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  <row r="16" spans="5:5">
      <c r="E16" s="5"/>
    </row>
    <row r="17" spans="5:5">
      <c r="E17" s="5"/>
    </row>
    <row r="18" spans="5:5">
      <c r="E18" s="5"/>
    </row>
    <row r="19" spans="5:5">
      <c r="E19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Sheet1</vt:lpstr>
      <vt:lpstr>Sheet2</vt:lpstr>
      <vt:lpstr>テーブル 5 (21)</vt:lpstr>
      <vt:lpstr>テーブル 5 (19)</vt:lpstr>
      <vt:lpstr>テーブル 5 (17)</vt:lpstr>
      <vt:lpstr>テーブル 5 (15)</vt:lpstr>
      <vt:lpstr>テーブル 5 (13)</vt:lpstr>
      <vt:lpstr>テーブル 5 (11)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2024-11-04T05:47:07Z</dcterms:modified>
</cp:coreProperties>
</file>