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454F7435-0CC4-4334-ADEC-5BB0A1ADA760}" xr6:coauthVersionLast="47" xr6:coauthVersionMax="47" xr10:uidLastSave="{00000000-0000-0000-0000-000000000000}"/>
  <bookViews>
    <workbookView xWindow="4200" yWindow="780" windowWidth="22830" windowHeight="14700" activeTab="1" xr2:uid="{00000000-000D-0000-FFFF-FFFF00000000}"/>
  </bookViews>
  <sheets>
    <sheet name="Sheet1" sheetId="1" r:id="rId1"/>
    <sheet name="Sheet2" sheetId="2" r:id="rId2"/>
    <sheet name="テーブル 5 (29)" sheetId="54" r:id="rId3"/>
    <sheet name="テーブル 5 (27)" sheetId="53" r:id="rId4"/>
    <sheet name="テーブル 5 (25)" sheetId="52" r:id="rId5"/>
    <sheet name="テーブル 5 (23)" sheetId="51" r:id="rId6"/>
  </sheets>
  <definedNames>
    <definedName name="ExternalData_1" localSheetId="2" hidden="1">'テーブル 5 (29)'!$A$1:$E$13</definedName>
    <definedName name="ExternalData_2" localSheetId="0" hidden="1">Sheet1!$A$1:$E$13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04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05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06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07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08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<sst xmlns="http://schemas.openxmlformats.org/spreadsheetml/2006/main" count="252" uniqueCount="46">
  <si>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</si>
  <si>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</si>
  <si>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</si>
  <si>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</si>
  <si>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</si>
  <si>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</si>
  <si>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</si>
  <si>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</si>
  <si>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GrooveTheory</t>
  </si>
  <si>
    <t>Kehlani Parrish, Darius Dixson, Shawntoni Nichols, Darhyl Camper, Daniel
                  Upchurch</t>
  </si>
  <si>
    <t>Kehlani</t>
  </si>
  <si>
    <t>Next 2 U</t>
  </si>
  <si>
    <t>Kehlani Parrish, Darius Dixson, Anthony Clemons</t>
  </si>
  <si>
    <t>After Hours</t>
  </si>
  <si>
    <t>Kehlani Parrish, Khris Riddick-Tynes, Alex Goldblatt, Daniel Upchurch,
                  Diovanna Frazier, Cordel Burrell</t>
  </si>
  <si>
    <t>Crash</t>
  </si>
  <si>
    <t>Kehlani Parrish, Reginald Becton, Aidan Carroll, Khris Riddick-Tynes, Jack
                  Rochon, Daniel Upchurch, Alex Goldblatt, Aaron Cheung</t>
  </si>
  <si>
    <t>8</t>
  </si>
  <si>
    <t>Kehlani Parrish, Darius Dixson, Anthony Clemons Jr., Kwame Holland</t>
  </si>
  <si>
    <t>Sucia</t>
  </si>
  <si>
    <t>Kehlani Parrish, Darius Dixson, Shawntoni Nichols, Darhyl Camper Jr., Diovanna
                  Frazier, Morgan Belanger, Jill Scott, María Victoria Ram?rez de Arellano
                  Cardona</t>
  </si>
  <si>
    <t>Kehlani feat. Jill Scott &amp; Young Miko</t>
  </si>
  <si>
    <t>Better Not</t>
  </si>
  <si>
    <t>Kehlani Parrish, Warren Felder, Destin Conrad, Reginald Becton, Alexander
                  Ben-Abdallah, Daniel Upchurch, Morgan Belanger</t>
  </si>
  <si>
    <t>Tears</t>
  </si>
  <si>
    <t>Kehlani Parrish, Reginald Becton, Edgar Etienne, Jack Rochon, Ronald Banful,
                  Stanley Omah Didia, Atia Bogs, Samik Ganguly</t>
  </si>
  <si>
    <t>Kehlani feat. Omah Lay</t>
  </si>
  <si>
    <t>Vegas</t>
  </si>
  <si>
    <t>Kehlani Parris, Jack Rochon, Anthony Clemons Jr., Darhyl Camper Jr., Darius
                  Dixson, Atia Boggs, Daniel Upchurch, Reginald Becton, Morgan Belanger</t>
  </si>
  <si>
    <t>Deep</t>
  </si>
  <si>
    <t>Kehlani Parrish, Jack Rochon, Darius Dixson, Morgan Belanger</t>
  </si>
  <si>
    <t>Chanel</t>
  </si>
  <si>
    <t>ehlani Parrish, Jack Rochon, Darius Dixson, Reginald Becton, Prince-Phabian
                  Iman Alexander Graham, Daniel Upchurch, Morgan Belanger</t>
  </si>
  <si>
    <t>Lose My Wife</t>
  </si>
  <si>
    <t>Kehlani Parrish, Jack Rochon, Darius Dixson</t>
  </si>
  <si>
    <t>Kehlani Parrish, Darius Dixson, Shawntoni Nichols, Darhyl Camper, Daniel Upchurch</t>
    <phoneticPr fontId="1"/>
  </si>
  <si>
    <t>Kehlani Parrish, Khris Riddick-Tynes, Alex Goldblatt, Daniel Upchurch,                  Diovanna Frazier, Cordel Burrell</t>
    <phoneticPr fontId="1"/>
  </si>
  <si>
    <t>Kehlani Parrish, Reginald Becton, Aidan Carroll, Khris Riddick-Tynes, Jack                  Rochon, Daniel Upchurch, Alex Goldblatt, Aaron Cheung</t>
    <phoneticPr fontId="1"/>
  </si>
  <si>
    <t>Kehlani Parrish, Darius Dixson, Anthony Clemons Jr., Kwame Holland</t>
    <phoneticPr fontId="1"/>
  </si>
  <si>
    <t>Kehlani Parrish, Warren Felder, Destin Conrad, Reginald Becton, Alexander                  Ben-Abdallah, Daniel Upchurch, Morgan Belanger</t>
    <phoneticPr fontId="1"/>
  </si>
  <si>
    <t>Kehlani Parrish, Reginald Becton, Edgar Etienne, Jack Rochon, Ronald Banful,                  Stanley Omah Didia, Atia Bogs, Samik Ganguly</t>
    <phoneticPr fontId="1"/>
  </si>
  <si>
    <t>Kehlani Parris, Jack Rochon, Anthony Clemons Jr., Darhyl Camper Jr., Darius                  Dixson, Atia Boggs, Daniel Upchurch, Reginald Becton, Morgan Belanger</t>
    <phoneticPr fontId="1"/>
  </si>
  <si>
    <t>Kehlani Parrish, Jack Rochon, Darius Dixson, Morgan Belanger</t>
    <phoneticPr fontId="1"/>
  </si>
  <si>
    <t>ehlani Parrish, Jack Rochon, Darius Dixson, Reginald Becton, Prince-Phabian                  Iman Alexander Graham, Daniel Upchurch, Morgan Belanger</t>
    <phoneticPr fontId="1"/>
  </si>
  <si>
    <t>Kehlani Parrish, Jack Rochon, Darius Dixson</t>
    <phoneticPr fontId="1"/>
  </si>
  <si>
    <t>Kehlani Parrish, Darius Dixson, Shawntoni Nichols, Darhyl Camper Jr., Diovanna                  Frazier, Morgan Belanger, Jill Scott, María Victoria Ram?rez de Arellano                  Cardona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</si>
</sst>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vertical="center" wrapText="1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2" xr16:uid="{734DB06D-62CA-4CD7-88C2-B16CBA22000B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0" xr16:uid="{31AE5BB3-CEA4-42F2-B01C-5050EF408D94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7CD6EC-50B5-40BB-918E-62B2187916BF}" name="テーブル_5__293" displayName="テーブル_5__293" ref="A1:E13" tableType="queryTable" totalsRowShown="0">
  <autoFilter ref="A1:E13" xr:uid="{BC7CD6EC-50B5-40BB-918E-62B2187916BF}"/>
  <tableColumns count="5">
    <tableColumn id="1" xr3:uid="{B102D8FC-03CE-4BA7-AB8F-15258B007527}" uniqueName="1" name="Column1" queryTableFieldId="1"/>
    <tableColumn id="2" xr3:uid="{460C232E-DE85-4BBA-A5FF-E2105814A488}" uniqueName="2" name="Title" queryTableFieldId="2" dataDxfId="3"/>
    <tableColumn id="3" xr3:uid="{F0D654E3-9BCA-460D-889C-FE266BA1EB77}" uniqueName="3" name="Composer" queryTableFieldId="3" dataDxfId="2"/>
    <tableColumn id="4" xr3:uid="{E6CEC0F2-4F1A-447B-903A-C5EA2D31A315}" uniqueName="4" name="Performer" queryTableFieldId="4" dataDxfId="1"/>
    <tableColumn id="5" xr3:uid="{3BC5D2BD-66BE-421F-A0FD-4F86F32E8D18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E410C5-5892-4F43-86EA-5B7AF4C79327}" name="テーブル_5__29" displayName="テーブル_5__29" ref="A1:E13" tableType="queryTable" totalsRowShown="0">
  <autoFilter ref="A1:E13" xr:uid="{FCE410C5-5892-4F43-86EA-5B7AF4C79327}"/>
  <tableColumns count="5">
    <tableColumn id="1" xr3:uid="{FB776A4C-F30E-4359-B7B3-8AED113665CF}" uniqueName="1" name="Column1" queryTableFieldId="1"/>
    <tableColumn id="2" xr3:uid="{64CDDBB4-E493-4CA6-AF5D-DEE3589357BA}" uniqueName="2" name="Title" queryTableFieldId="2" dataDxfId="7"/>
    <tableColumn id="3" xr3:uid="{B7018085-29A9-4B85-ADCE-56C230042076}" uniqueName="3" name="Composer" queryTableFieldId="3" dataDxfId="6"/>
    <tableColumn id="4" xr3:uid="{33E11AD9-B016-4628-A71B-95E2EB44954A}" uniqueName="4" name="Performer" queryTableFieldId="4" dataDxfId="5"/>
    <tableColumn id="5" xr3:uid="{15FD5EF4-0963-4C19-9D74-4134D6905BBA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activeCell="C7" sqref="C7"/>
    </sheetView>
  </sheetViews>
  <sheetFormatPr defaultRowHeight="19.5"/>
  <cols>
    <col min="1" max="1" width="11" bestFit="1" customWidth="1"/>
    <col min="2" max="2" width="13.44140625" bestFit="1" customWidth="1"/>
    <col min="3" max="3" width="80.88671875" bestFit="1" customWidth="1"/>
    <col min="4" max="4" width="33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35</v>
      </c>
      <c r="D2" s="6" t="s">
        <v>10</v>
      </c>
      <c r="E2" s="5">
        <v>0.16944444444444445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0.11180555555555556</v>
      </c>
    </row>
    <row r="4" spans="1:5">
      <c r="A4">
        <v>3</v>
      </c>
      <c r="B4" s="6" t="s">
        <v>13</v>
      </c>
      <c r="C4" s="6" t="s">
        <v>36</v>
      </c>
      <c r="D4" s="6" t="s">
        <v>10</v>
      </c>
      <c r="E4" s="5">
        <v>0.14027777777777778</v>
      </c>
    </row>
    <row r="5" spans="1:5">
      <c r="A5">
        <v>4</v>
      </c>
      <c r="B5" s="6" t="s">
        <v>15</v>
      </c>
      <c r="C5" s="6" t="s">
        <v>37</v>
      </c>
      <c r="D5" s="6" t="s">
        <v>10</v>
      </c>
      <c r="E5" s="5">
        <v>0.11805555555555555</v>
      </c>
    </row>
    <row r="6" spans="1:5">
      <c r="A6">
        <v>5</v>
      </c>
      <c r="B6" s="6" t="s">
        <v>17</v>
      </c>
      <c r="C6" s="6" t="s">
        <v>38</v>
      </c>
      <c r="D6" s="6" t="s">
        <v>10</v>
      </c>
      <c r="E6" s="5">
        <v>0.10416666666666667</v>
      </c>
    </row>
    <row r="7" spans="1:5" ht="39">
      <c r="A7">
        <v>6</v>
      </c>
      <c r="B7" s="6" t="s">
        <v>19</v>
      </c>
      <c r="C7" s="7" t="s">
        <v>45</v>
      </c>
      <c r="D7" s="6" t="s">
        <v>21</v>
      </c>
      <c r="E7" s="5">
        <v>0.17222222222222222</v>
      </c>
    </row>
    <row r="8" spans="1:5">
      <c r="A8">
        <v>7</v>
      </c>
      <c r="B8" s="6" t="s">
        <v>22</v>
      </c>
      <c r="C8" s="6" t="s">
        <v>39</v>
      </c>
      <c r="D8" s="6" t="s">
        <v>10</v>
      </c>
      <c r="E8" s="5">
        <v>0.11319444444444444</v>
      </c>
    </row>
    <row r="9" spans="1:5">
      <c r="A9">
        <v>8</v>
      </c>
      <c r="B9" s="6" t="s">
        <v>24</v>
      </c>
      <c r="C9" s="6" t="s">
        <v>40</v>
      </c>
      <c r="D9" s="6" t="s">
        <v>26</v>
      </c>
      <c r="E9" s="5">
        <v>0.12152777777777778</v>
      </c>
    </row>
    <row r="10" spans="1:5">
      <c r="A10">
        <v>9</v>
      </c>
      <c r="B10" s="6" t="s">
        <v>27</v>
      </c>
      <c r="C10" s="6" t="s">
        <v>41</v>
      </c>
      <c r="D10" s="6" t="s">
        <v>10</v>
      </c>
      <c r="E10" s="5">
        <v>0.15763888888888888</v>
      </c>
    </row>
    <row r="11" spans="1:5">
      <c r="A11">
        <v>10</v>
      </c>
      <c r="B11" s="6" t="s">
        <v>29</v>
      </c>
      <c r="C11" s="6" t="s">
        <v>42</v>
      </c>
      <c r="D11" s="6" t="s">
        <v>10</v>
      </c>
      <c r="E11" s="5">
        <v>0.10138888888888889</v>
      </c>
    </row>
    <row r="12" spans="1:5">
      <c r="A12">
        <v>11</v>
      </c>
      <c r="B12" s="6" t="s">
        <v>31</v>
      </c>
      <c r="C12" s="6" t="s">
        <v>43</v>
      </c>
      <c r="D12" s="6" t="s">
        <v>10</v>
      </c>
      <c r="E12" s="5">
        <v>0.16250000000000001</v>
      </c>
    </row>
    <row r="13" spans="1:5">
      <c r="A13">
        <v>12</v>
      </c>
      <c r="B13" s="6" t="s">
        <v>33</v>
      </c>
      <c r="C13" s="6" t="s">
        <v>44</v>
      </c>
      <c r="D13" s="6" t="s">
        <v>10</v>
      </c>
      <c r="E13" s="5">
        <v>0.11458333333333333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3" sqref="A3:K16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12</v>
      </c>
      <c r="F2" s="1">
        <f t="array" ref="F2">MAX(LENB(Sheet1!C1:'Sheet1'!C30))</f>
        <v>193</v>
      </c>
      <c r="H2" s="1">
        <f t="array" ref="H2">MAX(LENB(Sheet1!D1:'Sheet1'!D30))</f>
        <v>37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>GrooveTheory</v>
      </c>
      <c r="E5" s="3" t="s">
        <v>0</v>
      </c>
      <c r="F5" t="str">
        <f>" "&amp;LEFTB(Sheet1!C2&amp;REPT(" ",$F$2),$F$2)</f>
        <v xml:space="preserve"> Kehlani Parrish, Darius Dixson, Shawntoni Nichols, Darhyl Camper, Daniel Upchurch                                                                                                                </v>
      </c>
      <c r="G5" s="3" t="s">
        <v>0</v>
      </c>
      <c r="H5" t="str">
        <f>LEFTB(Sheet1!D2&amp;REPT(" ",$H$2),$H$2)</f>
        <v xml:space="preserve">Kehlani                              </v>
      </c>
      <c r="I5" s="3" t="s">
        <v>0</v>
      </c>
      <c r="J5" s="2" t="str">
        <f>TEXT(Sheet1!E2,"HH:MM")&amp;" "</f>
        <v xml:space="preserve">04:04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Next 2 U    </v>
      </c>
      <c r="E6" s="3" t="s">
        <v>0</v>
      </c>
      <c r="F6" t="str">
        <f>" "&amp;LEFTB(Sheet1!C3&amp;REPT(" ",$F$2),$F$2)</f>
        <v xml:space="preserve"> Kehlani Parrish, Darius Dixson, Anthony Clemons                                                    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Kehlani                              </v>
      </c>
      <c r="I6" s="3" t="s">
        <v>0</v>
      </c>
      <c r="J6" s="2" t="str">
        <f>TEXT(Sheet1!E3,"HH:MM")&amp;" "</f>
        <v xml:space="preserve">02:41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After Hours </v>
      </c>
      <c r="E7" s="3" t="s">
        <v>0</v>
      </c>
      <c r="F7" t="str">
        <f>" "&amp;LEFTB(Sheet1!C4&amp;REPT(" ",$F$2),$F$2)</f>
        <v xml:space="preserve"> Kehlani Parrish, Khris Riddick-Tynes, Alex Goldblatt, Daniel Upchurch,                  Diovanna Frazier, Cordel Burrell                                                                         </v>
      </c>
      <c r="G7" s="3" t="s">
        <v>0</v>
      </c>
      <c r="H7" t="str">
        <f>LEFTB(Sheet1!D4&amp;REPT(" ",$H$2),$H$2)</f>
        <v xml:space="preserve">Kehlani                              </v>
      </c>
      <c r="I7" s="3" t="s">
        <v>0</v>
      </c>
      <c r="J7" s="2" t="str">
        <f>TEXT(Sheet1!E4,"HH:MM")&amp;" "</f>
        <v xml:space="preserve">03:22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Crash       </v>
      </c>
      <c r="E8" s="3" t="s">
        <v>0</v>
      </c>
      <c r="F8" t="str">
        <f>" "&amp;LEFTB(Sheet1!C5&amp;REPT(" ",$F$2),$F$2)</f>
        <v xml:space="preserve"> Kehlani Parrish, Reginald Becton, Aidan Carroll, Khris Riddick-Tynes, Jack                  Rochon, Daniel Upchurch, Alex Goldblatt, Aaron Cheung                                                </v>
      </c>
      <c r="G8" s="3" t="s">
        <v>0</v>
      </c>
      <c r="H8" t="str">
        <f>LEFTB(Sheet1!D5&amp;REPT(" ",$H$2),$H$2)</f>
        <v xml:space="preserve">Kehlani                              </v>
      </c>
      <c r="I8" s="3" t="s">
        <v>0</v>
      </c>
      <c r="J8" s="2" t="str">
        <f>TEXT(Sheet1!E5,"HH:MM")&amp;" "</f>
        <v xml:space="preserve">02:50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8           </v>
      </c>
      <c r="E9" s="3" t="s">
        <v>0</v>
      </c>
      <c r="F9" t="str">
        <f>" "&amp;LEFTB(Sheet1!C6&amp;REPT(" ",$F$2),$F$2)</f>
        <v xml:space="preserve"> Kehlani Parrish, Darius Dixson, Anthony Clemons Jr., Kwame Holland     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Kehlani                              </v>
      </c>
      <c r="I9" s="3" t="s">
        <v>0</v>
      </c>
      <c r="J9" s="2" t="str">
        <f>TEXT(Sheet1!E6,"HH:MM")&amp;" "</f>
        <v xml:space="preserve">02:30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Sucia       </v>
      </c>
      <c r="E10" s="3" t="s">
        <v>0</v>
      </c>
      <c r="F10" t="str">
        <f>" "&amp;LEFTB(Sheet1!C7&amp;REPT(" ",$F$2),$F$2)</f>
        <v xml:space="preserve"> Kehlani Parrish, Darius Dixson, Shawntoni Nichols, Darhyl Camper Jr., Diovanna                  Frazier, Morgan Belanger, Jill Scott, María Victoria Ram?rez de Arellano                  Cardon</v>
      </c>
      <c r="G10" s="3" t="s">
        <v>0</v>
      </c>
      <c r="H10" t="str">
        <f>LEFTB(Sheet1!D7&amp;REPT(" ",$H$2),$H$2)</f>
        <v>Kehlani feat. Jill Scott &amp; Young Miko</v>
      </c>
      <c r="I10" s="3" t="s">
        <v>0</v>
      </c>
      <c r="J10" s="2" t="str">
        <f>TEXT(Sheet1!E7,"HH:MM")&amp;" "</f>
        <v xml:space="preserve">04:08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Better Not  </v>
      </c>
      <c r="E11" s="3" t="s">
        <v>0</v>
      </c>
      <c r="F11" t="str">
        <f>" "&amp;LEFTB(Sheet1!C8&amp;REPT(" ",$F$2),$F$2)</f>
        <v xml:space="preserve"> Kehlani Parrish, Warren Felder, Destin Conrad, Reginald Becton, Alexander                  Ben-Abdallah, Daniel Upchurch, Morgan Belanger                                                        </v>
      </c>
      <c r="G11" s="3" t="s">
        <v>0</v>
      </c>
      <c r="H11" t="str">
        <f>LEFTB(Sheet1!D8&amp;REPT(" ",$H$2),$H$2)</f>
        <v xml:space="preserve">Kehlani                              </v>
      </c>
      <c r="I11" s="3" t="s">
        <v>0</v>
      </c>
      <c r="J11" s="2" t="str">
        <f>TEXT(Sheet1!E8,"HH:MM")&amp;" "</f>
        <v xml:space="preserve">02:43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Tears       </v>
      </c>
      <c r="E12" s="3" t="s">
        <v>0</v>
      </c>
      <c r="F12" t="str">
        <f>" "&amp;LEFTB(Sheet1!C9&amp;REPT(" ",$F$2),$F$2)</f>
        <v xml:space="preserve"> Kehlani Parrish, Reginald Becton, Edgar Etienne, Jack Rochon, Ronald Banful,                  Stanley Omah Didia, Atia Bogs, Samik Ganguly                                                       </v>
      </c>
      <c r="G12" s="3" t="s">
        <v>0</v>
      </c>
      <c r="H12" t="str">
        <f>LEFTB(Sheet1!D9&amp;REPT(" ",$H$2),$H$2)</f>
        <v xml:space="preserve">Kehlani feat. Omah Lay               </v>
      </c>
      <c r="I12" s="3" t="s">
        <v>0</v>
      </c>
      <c r="J12" s="2" t="str">
        <f>TEXT(Sheet1!E9,"HH:MM")&amp;" "</f>
        <v xml:space="preserve">02:55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Vegas       </v>
      </c>
      <c r="E13" s="3" t="s">
        <v>0</v>
      </c>
      <c r="F13" t="str">
        <f>" "&amp;LEFTB(Sheet1!C10&amp;REPT(" ",$F$2),$F$2)</f>
        <v xml:space="preserve"> Kehlani Parris, Jack Rochon, Anthony Clemons Jr., Darhyl Camper Jr., Darius                  Dixson, Atia Boggs, Daniel Upchurch, Reginald Becton, Morgan Belanger                               </v>
      </c>
      <c r="G13" s="3" t="s">
        <v>0</v>
      </c>
      <c r="H13" t="str">
        <f>LEFTB(Sheet1!D10&amp;REPT(" ",$H$2),$H$2)</f>
        <v xml:space="preserve">Kehlani                              </v>
      </c>
      <c r="I13" s="3" t="s">
        <v>0</v>
      </c>
      <c r="J13" s="2" t="str">
        <f>TEXT(Sheet1!E10,"HH:MM")&amp;" "</f>
        <v xml:space="preserve">03:47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Deep        </v>
      </c>
      <c r="E14" s="3" t="s">
        <v>0</v>
      </c>
      <c r="F14" t="str">
        <f>" "&amp;LEFTB(Sheet1!C11&amp;REPT(" ",$F$2),$F$2)</f>
        <v xml:space="preserve"> Kehlani Parrish, Jack Rochon, Darius Dixson, Morgan Belanger                               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Kehlani                              </v>
      </c>
      <c r="I14" s="3" t="s">
        <v>0</v>
      </c>
      <c r="J14" s="2" t="str">
        <f>TEXT(Sheet1!E11,"HH:MM")&amp;" "</f>
        <v xml:space="preserve">02:26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Chanel      </v>
      </c>
      <c r="E15" s="3" t="s">
        <v>0</v>
      </c>
      <c r="F15" t="str">
        <f>" "&amp;LEFTB(Sheet1!C12&amp;REPT(" ",$F$2),$F$2)</f>
        <v xml:space="preserve"> ehlani Parrish, Jack Rochon, Darius Dixson, Reginald Becton, Prince-Phabian                  Iman Alexander Graham, Daniel Upchurch, Morgan Belanger                                             </v>
      </c>
      <c r="G15" s="3" t="s">
        <v>0</v>
      </c>
      <c r="H15" t="str">
        <f>LEFTB(Sheet1!D12&amp;REPT(" ",$H$2),$H$2)</f>
        <v xml:space="preserve">Kehlani                              </v>
      </c>
      <c r="I15" s="3" t="s">
        <v>0</v>
      </c>
      <c r="J15" s="2" t="str">
        <f>TEXT(Sheet1!E12,"HH:MM")&amp;" "</f>
        <v xml:space="preserve">03:54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>Lose My Wife</v>
      </c>
      <c r="E16" s="3" t="s">
        <v>0</v>
      </c>
      <c r="F16" t="str">
        <f>" "&amp;LEFTB(Sheet1!C13&amp;REPT(" ",$F$2),$F$2)</f>
        <v xml:space="preserve"> Kehlani Parrish, Jack Rochon, Darius Dixson                                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Kehlani                              </v>
      </c>
      <c r="I16" s="3" t="s">
        <v>0</v>
      </c>
      <c r="J16" s="2" t="str">
        <f>TEXT(Sheet1!E13,"HH:MM")&amp;" "</f>
        <v xml:space="preserve">02:45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</v>
      </c>
      <c r="E17" s="3" t="s">
        <v>0</v>
      </c>
      <c r="F17" t="str">
        <f>" "&amp;LEFTB(Sheet1!C14&amp;REPT("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           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</v>
      </c>
      <c r="E18" s="3" t="s">
        <v>0</v>
      </c>
      <c r="F18" t="str">
        <f>" "&amp;LEFTB(Sheet1!C15&amp;REPT("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           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5022-4DA8-434C-B727-641ED80E7680}">
  <dimension ref="A1:E13"/>
  <sheetViews>
    <sheetView workbookViewId="0">
      <selection sqref="A1:XFD1048576"/>
    </sheetView>
  </sheetViews>
  <sheetFormatPr defaultRowHeight="19.5"/>
  <cols>
    <col min="1" max="1" width="11" bestFit="1" customWidth="1"/>
    <col min="2" max="2" width="13.44140625" bestFit="1" customWidth="1"/>
    <col min="3" max="3" width="80.88671875" bestFit="1" customWidth="1"/>
    <col min="4" max="4" width="33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0.16944444444444445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0.11180555555555556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0.14027777777777778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0.11805555555555555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0.10416666666666667</v>
      </c>
    </row>
    <row r="7" spans="1:5">
      <c r="A7">
        <v>6</v>
      </c>
      <c r="B7" s="6" t="s">
        <v>19</v>
      </c>
      <c r="C7" s="6" t="s">
        <v>20</v>
      </c>
      <c r="D7" s="6" t="s">
        <v>21</v>
      </c>
      <c r="E7" s="5">
        <v>0.17222222222222222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0.11319444444444444</v>
      </c>
    </row>
    <row r="9" spans="1:5">
      <c r="A9">
        <v>8</v>
      </c>
      <c r="B9" s="6" t="s">
        <v>24</v>
      </c>
      <c r="C9" s="6" t="s">
        <v>25</v>
      </c>
      <c r="D9" s="6" t="s">
        <v>26</v>
      </c>
      <c r="E9" s="5">
        <v>0.12152777777777778</v>
      </c>
    </row>
    <row r="10" spans="1:5">
      <c r="A10">
        <v>9</v>
      </c>
      <c r="B10" s="6" t="s">
        <v>27</v>
      </c>
      <c r="C10" s="6" t="s">
        <v>28</v>
      </c>
      <c r="D10" s="6" t="s">
        <v>10</v>
      </c>
      <c r="E10" s="5">
        <v>0.15763888888888888</v>
      </c>
    </row>
    <row r="11" spans="1:5">
      <c r="A11">
        <v>10</v>
      </c>
      <c r="B11" s="6" t="s">
        <v>29</v>
      </c>
      <c r="C11" s="6" t="s">
        <v>30</v>
      </c>
      <c r="D11" s="6" t="s">
        <v>10</v>
      </c>
      <c r="E11" s="5">
        <v>0.10138888888888889</v>
      </c>
    </row>
    <row r="12" spans="1:5">
      <c r="A12">
        <v>11</v>
      </c>
      <c r="B12" s="6" t="s">
        <v>31</v>
      </c>
      <c r="C12" s="6" t="s">
        <v>32</v>
      </c>
      <c r="D12" s="6" t="s">
        <v>10</v>
      </c>
      <c r="E12" s="5">
        <v>0.16250000000000001</v>
      </c>
    </row>
    <row r="13" spans="1:5">
      <c r="A13">
        <v>12</v>
      </c>
      <c r="B13" s="6" t="s">
        <v>33</v>
      </c>
      <c r="C13" s="6" t="s">
        <v>34</v>
      </c>
      <c r="D13" s="6" t="s">
        <v>10</v>
      </c>
      <c r="E13" s="5">
        <v>0.11458333333333333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E9432-1111-4CF9-8347-8DD720BA9C42}">
  <dimension ref="E2:E15"/>
  <sheetViews>
    <sheetView workbookViewId="0"/>
  </sheetViews>
  <sheetFormatPr defaultRowHeight="19.5"/>
  <cols>
    <col min="1" max="1" width="11" bestFit="1" customWidth="1"/>
    <col min="2" max="2" width="30.44140625" bestFit="1" customWidth="1"/>
    <col min="3" max="3" width="80.88671875" bestFit="1" customWidth="1"/>
    <col min="4" max="4" width="52.88671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9471-B893-452C-A2E5-2BE2DE962EC8}">
  <dimension ref="E2:E20"/>
  <sheetViews>
    <sheetView workbookViewId="0"/>
  </sheetViews>
  <sheetFormatPr defaultRowHeight="19.5"/>
  <cols>
    <col min="1" max="1" width="10.77734375" bestFit="1" customWidth="1"/>
    <col min="2" max="2" width="26" bestFit="1" customWidth="1"/>
    <col min="3" max="3" width="80.77734375" bestFit="1" customWidth="1"/>
    <col min="4" max="4" width="42.77734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4F70-3CFA-4D7D-8B4F-8DB0EC8B0E73}">
  <dimension ref="E2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6640625" bestFit="1" customWidth="1"/>
    <col min="3" max="3" width="80.88671875" bestFit="1" customWidth="1"/>
    <col min="4" max="4" width="38.4414062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Sheet1</vt:lpstr>
      <vt:lpstr>Sheet2</vt:lpstr>
      <vt:lpstr>テーブル 5 (29)</vt:lpstr>
      <vt:lpstr>テーブル 5 (27)</vt:lpstr>
      <vt:lpstr>テーブル 5 (25)</vt:lpstr>
      <vt:lpstr>テーブル 5 (23)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2025-01-16T12:51:22Z</dcterms:modified>
</cp:coreProperties>
</file>