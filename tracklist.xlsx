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4\"/>
    </mc:Choice>
  </mc:AlternateContent>
  <xr:revisionPtr revIDLastSave="0" documentId="13_ncr:1_{8DC690E7-5C1C-403E-9A6F-0A62078D542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  <sheet name="Table 3 (73)" sheetId="36" r:id="rId3"/>
    <sheet name="Table 3 (71)" sheetId="35" r:id="rId4"/>
    <sheet name="Table 3 (69)" sheetId="34" r:id="rId5"/>
  </sheets>
  <definedNames>
    <definedName name="ExternalData_1" localSheetId="2" hidden="1">'Table 3 (73)'!$A$1:$E$17</definedName>
    <definedName name="ExternalData_2" localSheetId="0" hidden="1">Sheet1!$A$1:$E$17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2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</connections>
</file>

<file path=xl/sharedStrings.xml><?xml version="1.0" encoding="utf-8"?>
<sst xmlns="http://schemas.openxmlformats.org/spreadsheetml/2006/main" count="276" uniqueCount="51">
  <si>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</si>
  <si>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</si>
  <si>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</si>
  <si>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</si>
  <si>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</si>
  <si>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</si>
  <si>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</si>
  <si>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No.</t>
  </si>
  <si>
    <t>STARS</t>
  </si>
  <si>
    <t>Kanye West, Ty Dolla $ign, Finatik, Zac, SHDØW, Digital Nas, JPEGMAFIA, DJ Camper, The Legendary Traxster, Mark Williams, Raul Cubina, Sean Leon, Quentin Miller, Lucien Parker, Billy Ray Schlag</t>
  </si>
  <si>
    <t>Ty Dolla $ign, Kanye West</t>
  </si>
  <si>
    <t>KEYS TO MY LIFE</t>
  </si>
  <si>
    <t>Kanye West, Ty Dolla $ign, India Love, Timbaland, Hubi, SHDØW, Vinnyforgood, VEYIS, The Legendary Traxster, CyHi, Digital Nas</t>
  </si>
  <si>
    <t>Ty Dolla $ign, Kanye West feat. India Love</t>
  </si>
  <si>
    <t>PAID</t>
  </si>
  <si>
    <t>Kanye West, Ty Dolla $ign, Stryv, Wax Motif, Chrishan, KAYTRANADA, The Legendary Traxster, Anthony Kilhoffer, Ant Clemons, Denzel Curry, K-Ci Hailey, JoJo Hailey</t>
  </si>
  <si>
    <t>TALKING</t>
  </si>
  <si>
    <t>Kanye West, Ty Dolla $ign, North West, James Blake, DJ Camper, Edsclusive, Swizz Beatz, No I.D., CyHi, Ant Clemons, Mamii, Quentin Miller</t>
  </si>
  <si>
    <t>Ty Dolla $ign, Kanye West feat. North West</t>
  </si>
  <si>
    <t>BACK TO ME</t>
  </si>
  <si>
    <t>Kanye West, Ty Dolla $ign, Freddie Gibbs, Quavo, 88-Keys, Wax Motif, AyoAA, Feez, Nic Nac, James Alex Hau, Sasha Hashemi, MIKE DEAN, Digital Nas</t>
  </si>
  <si>
    <t>Ty Dolla $ign, Kanye West feat. Freddie Gibbs</t>
  </si>
  <si>
    <t>HOODRAT</t>
  </si>
  <si>
    <t>Kanye West, Ty Dolla $ign, 88-Keys, DJ Camper, Malik Yusef, Robert Booker, Fivio Foreign</t>
  </si>
  <si>
    <t>Ty Dolla $ign, Kanye West feat. Mike Tyson</t>
  </si>
  <si>
    <t>DO IT</t>
  </si>
  <si>
    <t>Kanye West, Ty Dolla $ign, YG, Nipsey Hussle, Wheezy, Mustard, Chrishan, Kevin Gomringer, Tim Gomringer, LukasBL, DTP, The Legendary Traxster, JPEGMAFIA, Fre$h (Short Dawg), Billy Ray Schlag</t>
  </si>
  <si>
    <t>Ty Dolla $ign, Kanye West, feat. YG, Nipsey Hussle</t>
  </si>
  <si>
    <t>PAPERWORK</t>
  </si>
  <si>
    <t>Kanye West, Ty Dolla $ign, Quavo, Digital Nas, The Legendary Traxster, 88-Keys, Swizz Beatz, Ant Clemons, DJ Vitinho Beat, DJ Roca</t>
  </si>
  <si>
    <t>Ty Dolla $ign, Kanye West feat. Quavo</t>
  </si>
  <si>
    <t>BURN</t>
  </si>
  <si>
    <t>Kanye West, Ty Dolla $ign, Azul, Chrishan, Morten “Rissi” Ristorp, The Legendary Traxster, Leon Thomas III, BEAM, Valentina Pappalardo, John Beck</t>
  </si>
  <si>
    <t>FUK SUMN</t>
  </si>
  <si>
    <t>Kanye West, Playboi Carti, Timbaland, SHDØW, Hubi, Digital Nas, AyoAA, Chrishan, JPEGMAFIA, Quavo, Quentin Miller, BBYKOBE, Ty Dolla $ign, The Legendary Traxster, 88-Keys, DJ Paul, Robert Cooper</t>
  </si>
  <si>
    <t>Ty Dolla $ign, Kanye West feat. Playboi Carti, Travis Scott</t>
  </si>
  <si>
    <t>VULTURES</t>
  </si>
  <si>
    <t>Kanye West, Ty Dolla $ign, Bump J, Lil Durk, Ambezza, Fya Man, Gustave Rudman, Raul Cubina, Mark Williams, Chordz, Juice, Wheezy, Adey, Jasper Harris, CyHi, Really Doe, Mowalola, Juicy J, DJ Paul, P. Thomas</t>
  </si>
  <si>
    <t>Ty Dolla $ign, Kanye West feat. Bump J, Lil Durk</t>
  </si>
  <si>
    <t>CARNIVAL</t>
  </si>
  <si>
    <t>Kanye West, Ty Dolla $ign, Rich The Kid, Playboi Carti, TheLabCook, The Legendary Traxster, Mark Williams, Raul Cubina, Digital Nas</t>
  </si>
  <si>
    <t>BEG FORGIVENESS</t>
  </si>
  <si>
    <t>Kanye West, Ty Dolla $ign, Chris Brown, London on da Track, VITALS (Producer), Digital Nas, JPEGMAFIA, Quentin Miller, Faouzia, Billy Ray Schlag, Anthony Kilhoffer, KSJ Beats, Valentina Pappalardo, John Beck, Joseph Goddard</t>
  </si>
  <si>
    <t>Ty Dolla $ign, Kanye West feat. Chris Brown</t>
  </si>
  <si>
    <t>GOOD (DON'T DIE)</t>
  </si>
  <si>
    <t>Kanye West, Ty Dolla $ign, will.i.am, Johnny Goldstein, BBYKOBE, No I.D., Sasha Hashemi</t>
  </si>
  <si>
    <t>PROBLEMATIC</t>
  </si>
  <si>
    <t>Kanye West, Ty Dolla $ign, 88-Keys, Chad Hugo, DJ Camper, Slonka (Manuel), Ant Clemons, OneInThe4Rest, Sevyn Streeter, D.Charles</t>
  </si>
  <si>
    <t>KING</t>
  </si>
  <si>
    <t>Kanye West, Ty Dolla $ign, Lester Nowhere, Wheezy, Dez Wright, 88-Keys, JPEGMAFIA, Freddie Gibbs, VIC MENSA</t>
  </si>
  <si>
    <t>Ty Dolla $ign, Kanye West, \$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</si>
</sst>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0" xr16:uid="{B06A9ED6-7C71-4469-92E1-74F40624D61B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9" xr16:uid="{35DDE28D-4525-470D-B7D0-F1925E113F64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589DB1-09E0-49F1-8F7B-E96E8482D1D1}" name="Table_3__735" displayName="Table_3__735" ref="A1:E17" tableType="queryTable" totalsRowShown="0">
  <autoFilter ref="A1:E17" xr:uid="{4A589DB1-09E0-49F1-8F7B-E96E8482D1D1}"/>
  <tableColumns count="5">
    <tableColumn id="1" xr3:uid="{3F9CEF15-7D2D-4422-8002-D477A8FAB937}" uniqueName="1" name="No." queryTableFieldId="1"/>
    <tableColumn id="2" xr3:uid="{8F3ACBEB-BAB7-4A24-B5B7-7FF02499384B}" uniqueName="2" name="Title" queryTableFieldId="2" dataDxfId="3"/>
    <tableColumn id="3" xr3:uid="{7D03EEEB-4069-4268-A7C5-4087384815FB}" uniqueName="3" name="Composer" queryTableFieldId="3" dataDxfId="2"/>
    <tableColumn id="4" xr3:uid="{75198D4D-1ACF-4EE5-AB8E-CA505EECDC1D}" uniqueName="4" name="Performer" queryTableFieldId="4" dataDxfId="1"/>
    <tableColumn id="5" xr3:uid="{5B767976-BC5E-4796-83F9-5F02DB4F7D0F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252369-4286-4B6B-AA8E-70D7F7B3A224}" name="Table_3__73" displayName="Table_3__73" ref="A1:E17" tableType="queryTable" totalsRowShown="0">
  <autoFilter ref="A1:E17" xr:uid="{E5252369-4286-4B6B-AA8E-70D7F7B3A224}"/>
  <tableColumns count="5">
    <tableColumn id="1" xr3:uid="{3024F431-308C-4F81-B476-CBB28746004E}" uniqueName="1" name="No." queryTableFieldId="1"/>
    <tableColumn id="2" xr3:uid="{FD8809EC-2F52-4490-B6A5-BD44BABDEDFF}" uniqueName="2" name="Title" queryTableFieldId="2" dataDxfId="7"/>
    <tableColumn id="3" xr3:uid="{DE07273F-4C31-4AD2-9D48-C605BB65CAAF}" uniqueName="3" name="Composer" queryTableFieldId="3" dataDxfId="6"/>
    <tableColumn id="4" xr3:uid="{380E9E81-2034-49D5-90E4-647B6C7A56E1}" uniqueName="4" name="Performer" queryTableFieldId="4" dataDxfId="5"/>
    <tableColumn id="5" xr3:uid="{E9600659-EFD5-49C7-8603-4DD8C11AD878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sqref="A1:XFD1048576"/>
    </sheetView>
  </sheetViews>
  <sheetFormatPr defaultRowHeight="19.5"/>
  <cols>
    <col min="1" max="1" width="6.21875" bestFit="1" customWidth="1"/>
    <col min="2" max="2" width="19" bestFit="1" customWidth="1"/>
    <col min="3" max="3" width="80.88671875" bestFit="1" customWidth="1"/>
    <col min="4" max="4" width="53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7.9861111111111105E-2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0.12083333333333333</v>
      </c>
    </row>
    <row r="4" spans="1:5">
      <c r="A4">
        <v>3</v>
      </c>
      <c r="B4" s="6" t="s">
        <v>14</v>
      </c>
      <c r="C4" s="6" t="s">
        <v>15</v>
      </c>
      <c r="D4" s="6" t="s">
        <v>10</v>
      </c>
      <c r="E4" s="5">
        <v>0.13541666666666666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0.12847222222222221</v>
      </c>
    </row>
    <row r="6" spans="1:5">
      <c r="A6">
        <v>5</v>
      </c>
      <c r="B6" s="6" t="s">
        <v>19</v>
      </c>
      <c r="C6" s="6" t="s">
        <v>20</v>
      </c>
      <c r="D6" s="6" t="s">
        <v>21</v>
      </c>
      <c r="E6" s="5">
        <v>0.2048611111111111</v>
      </c>
    </row>
    <row r="7" spans="1:5">
      <c r="A7">
        <v>6</v>
      </c>
      <c r="B7" s="6" t="s">
        <v>22</v>
      </c>
      <c r="C7" s="6" t="s">
        <v>23</v>
      </c>
      <c r="D7" s="6" t="s">
        <v>24</v>
      </c>
      <c r="E7" s="5">
        <v>0.15416666666666667</v>
      </c>
    </row>
    <row r="8" spans="1:5">
      <c r="A8">
        <v>7</v>
      </c>
      <c r="B8" s="6" t="s">
        <v>25</v>
      </c>
      <c r="C8" s="6" t="s">
        <v>26</v>
      </c>
      <c r="D8" s="6" t="s">
        <v>27</v>
      </c>
      <c r="E8" s="5">
        <v>0.15625</v>
      </c>
    </row>
    <row r="9" spans="1:5">
      <c r="A9">
        <v>8</v>
      </c>
      <c r="B9" s="6" t="s">
        <v>28</v>
      </c>
      <c r="C9" s="6" t="s">
        <v>29</v>
      </c>
      <c r="D9" s="6" t="s">
        <v>30</v>
      </c>
      <c r="E9" s="5">
        <v>0.10069444444444445</v>
      </c>
    </row>
    <row r="10" spans="1:5">
      <c r="A10">
        <v>9</v>
      </c>
      <c r="B10" s="6" t="s">
        <v>31</v>
      </c>
      <c r="C10" s="6" t="s">
        <v>32</v>
      </c>
      <c r="D10" s="6" t="s">
        <v>10</v>
      </c>
      <c r="E10" s="5">
        <v>7.7083333333333337E-2</v>
      </c>
    </row>
    <row r="11" spans="1:5">
      <c r="A11">
        <v>10</v>
      </c>
      <c r="B11" s="6" t="s">
        <v>33</v>
      </c>
      <c r="C11" s="6" t="s">
        <v>34</v>
      </c>
      <c r="D11" s="6" t="s">
        <v>35</v>
      </c>
      <c r="E11" s="5">
        <v>0.1451388888888889</v>
      </c>
    </row>
    <row r="12" spans="1:5">
      <c r="A12">
        <v>11</v>
      </c>
      <c r="B12" s="6" t="s">
        <v>36</v>
      </c>
      <c r="C12" s="6" t="s">
        <v>37</v>
      </c>
      <c r="D12" s="6" t="s">
        <v>38</v>
      </c>
      <c r="E12" s="5">
        <v>0.19166666666666668</v>
      </c>
    </row>
    <row r="13" spans="1:5">
      <c r="A13">
        <v>12</v>
      </c>
      <c r="B13" s="6" t="s">
        <v>39</v>
      </c>
      <c r="C13" s="6" t="s">
        <v>40</v>
      </c>
      <c r="D13" s="6" t="s">
        <v>10</v>
      </c>
      <c r="E13" s="5">
        <v>0.18333333333333332</v>
      </c>
    </row>
    <row r="14" spans="1:5">
      <c r="A14">
        <v>13</v>
      </c>
      <c r="B14" s="6" t="s">
        <v>41</v>
      </c>
      <c r="C14" s="6" t="s">
        <v>42</v>
      </c>
      <c r="D14" s="6" t="s">
        <v>43</v>
      </c>
      <c r="E14" s="5">
        <v>0.25555555555555554</v>
      </c>
    </row>
    <row r="15" spans="1:5">
      <c r="A15">
        <v>14</v>
      </c>
      <c r="B15" s="6" t="s">
        <v>44</v>
      </c>
      <c r="C15" s="6" t="s">
        <v>45</v>
      </c>
      <c r="D15" s="6" t="s">
        <v>10</v>
      </c>
      <c r="E15" s="5">
        <v>0.13819444444444445</v>
      </c>
    </row>
    <row r="16" spans="1:5">
      <c r="A16">
        <v>15</v>
      </c>
      <c r="B16" s="6" t="s">
        <v>46</v>
      </c>
      <c r="C16" s="6" t="s">
        <v>47</v>
      </c>
      <c r="D16" s="6" t="s">
        <v>10</v>
      </c>
      <c r="E16" s="5">
        <v>0.13472222222222222</v>
      </c>
    </row>
    <row r="17" spans="1:5">
      <c r="A17">
        <v>16</v>
      </c>
      <c r="B17" s="6" t="s">
        <v>48</v>
      </c>
      <c r="C17" s="6" t="s">
        <v>49</v>
      </c>
      <c r="D17" s="6" t="s">
        <v>50</v>
      </c>
      <c r="E17" s="5">
        <v>0.10833333333333334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20" sqref="A3:K20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38.21875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16</v>
      </c>
      <c r="F2" s="1">
        <f t="array" ref="F2">MAX(LENB(Sheet1!C1:'Sheet1'!C30))</f>
        <v>223</v>
      </c>
      <c r="H2" s="1">
        <f t="array" ref="H2">MAX(LENB(Sheet1!D1:'Sheet1'!D30))</f>
        <v>59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STARS           </v>
      </c>
      <c r="E5" s="3" t="s">
        <v>0</v>
      </c>
      <c r="F5" t="str">
        <f>" "&amp;LEFTB(Sheet1!C2&amp;REPT(" ",$F$2),$F$2)</f>
        <v xml:space="preserve"> Kanye West, Ty Dolla $ign, Finatik, Zac, SHDØW, Digital Nas, JPEGMAFIA, DJ Camper, The Legendary Traxster, Mark Williams, Raul Cubina, Sean Leon, Quentin Miller, Lucien Parker, Billy Ray Schlag                             </v>
      </c>
      <c r="G5" s="3" t="s">
        <v>0</v>
      </c>
      <c r="H5" t="str">
        <f>LEFTB(Sheet1!D2&amp;REPT(" ",$H$2),$H$2)</f>
        <v xml:space="preserve">Ty Dolla $ign, Kanye West                                  </v>
      </c>
      <c r="I5" s="3" t="s">
        <v>0</v>
      </c>
      <c r="J5" s="2" t="str">
        <f>TEXT(Sheet1!E2,"HH:MM")&amp;" "</f>
        <v xml:space="preserve">01:55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KEYS TO MY LIFE </v>
      </c>
      <c r="E6" s="3" t="s">
        <v>0</v>
      </c>
      <c r="F6" t="str">
        <f>" "&amp;LEFTB(Sheet1!C3&amp;REPT(" ",$F$2),$F$2)</f>
        <v xml:space="preserve"> Kanye West, Ty Dolla $ign, India Love, Timbaland, Hubi, SHDØW, Vinnyforgood, VEYIS, The Legendary Traxster, CyHi, Digital Nas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Ty Dolla $ign, Kanye West feat. India Love                 </v>
      </c>
      <c r="I6" s="3" t="s">
        <v>0</v>
      </c>
      <c r="J6" s="2" t="str">
        <f>TEXT(Sheet1!E3,"HH:MM")&amp;" "</f>
        <v xml:space="preserve">02:54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PAID            </v>
      </c>
      <c r="E7" s="3" t="s">
        <v>0</v>
      </c>
      <c r="F7" t="str">
        <f>" "&amp;LEFTB(Sheet1!C4&amp;REPT(" ",$F$2),$F$2)</f>
        <v xml:space="preserve"> Kanye West, Ty Dolla $ign, Stryv, Wax Motif, Chrishan, KAYTRANADA, The Legendary Traxster, Anthony Kilhoffer, Ant Clemons, Denzel Curry, K-Ci Hailey, JoJo Hailey                                                              </v>
      </c>
      <c r="G7" s="3" t="s">
        <v>0</v>
      </c>
      <c r="H7" t="str">
        <f>LEFTB(Sheet1!D4&amp;REPT(" ",$H$2),$H$2)</f>
        <v xml:space="preserve">Ty Dolla $ign, Kanye West                                  </v>
      </c>
      <c r="I7" s="3" t="s">
        <v>0</v>
      </c>
      <c r="J7" s="2" t="str">
        <f>TEXT(Sheet1!E4,"HH:MM")&amp;" "</f>
        <v xml:space="preserve">03:15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TALKING         </v>
      </c>
      <c r="E8" s="3" t="s">
        <v>0</v>
      </c>
      <c r="F8" t="str">
        <f>" "&amp;LEFTB(Sheet1!C5&amp;REPT(" ",$F$2),$F$2)</f>
        <v xml:space="preserve"> Kanye West, Ty Dolla $ign, North West, James Blake, DJ Camper, Edsclusive, Swizz Beatz, No I.D., CyHi, Ant Clemons, Mamii, Quentin Miller                                                                                      </v>
      </c>
      <c r="G8" s="3" t="s">
        <v>0</v>
      </c>
      <c r="H8" t="str">
        <f>LEFTB(Sheet1!D5&amp;REPT(" ",$H$2),$H$2)</f>
        <v xml:space="preserve">Ty Dolla $ign, Kanye West feat. North West                 </v>
      </c>
      <c r="I8" s="3" t="s">
        <v>0</v>
      </c>
      <c r="J8" s="2" t="str">
        <f>TEXT(Sheet1!E5,"HH:MM")&amp;" "</f>
        <v xml:space="preserve">03:05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BACK TO ME      </v>
      </c>
      <c r="E9" s="3" t="s">
        <v>0</v>
      </c>
      <c r="F9" t="str">
        <f>" "&amp;LEFTB(Sheet1!C6&amp;REPT(" ",$F$2),$F$2)</f>
        <v xml:space="preserve"> Kanye West, Ty Dolla $ign, Freddie Gibbs, Quavo, 88-Keys, Wax Motif, AyoAA, Feez, Nic Nac, James Alex Hau, Sasha Hashemi, MIKE DEAN, Digital Nas                                                                               </v>
      </c>
      <c r="G9" s="3" t="s">
        <v>0</v>
      </c>
      <c r="H9" t="str">
        <f>LEFTB(Sheet1!D6&amp;REPT(" ",$H$2),$H$2)</f>
        <v xml:space="preserve">Ty Dolla $ign, Kanye West feat. Freddie Gibbs              </v>
      </c>
      <c r="I9" s="3" t="s">
        <v>0</v>
      </c>
      <c r="J9" s="2" t="str">
        <f>TEXT(Sheet1!E6,"HH:MM")&amp;" "</f>
        <v xml:space="preserve">04:55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HOODRAT         </v>
      </c>
      <c r="E10" s="3" t="s">
        <v>0</v>
      </c>
      <c r="F10" t="str">
        <f>" "&amp;LEFTB(Sheet1!C7&amp;REPT(" ",$F$2),$F$2)</f>
        <v xml:space="preserve"> Kanye West, Ty Dolla $ign, 88-Keys, DJ Camper, Malik Yusef, Robert Booker, Fivio Foreign                                                                                                                                       </v>
      </c>
      <c r="G10" s="3" t="s">
        <v>0</v>
      </c>
      <c r="H10" t="str">
        <f>LEFTB(Sheet1!D7&amp;REPT(" ",$H$2),$H$2)</f>
        <v xml:space="preserve">Ty Dolla $ign, Kanye West feat. Mike Tyson                 </v>
      </c>
      <c r="I10" s="3" t="s">
        <v>0</v>
      </c>
      <c r="J10" s="2" t="str">
        <f>TEXT(Sheet1!E7,"HH:MM")&amp;" "</f>
        <v xml:space="preserve">03:42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DO IT           </v>
      </c>
      <c r="E11" s="3" t="s">
        <v>0</v>
      </c>
      <c r="F11" t="str">
        <f>" "&amp;LEFTB(Sheet1!C8&amp;REPT(" ",$F$2),$F$2)</f>
        <v xml:space="preserve"> Kanye West, Ty Dolla $ign, YG, Nipsey Hussle, Wheezy, Mustard, Chrishan, Kevin Gomringer, Tim Gomringer, LukasBL, DTP, The Legendary Traxster, JPEGMAFIA, Fre$h (Short Dawg), Billy Ray Schlag                                 </v>
      </c>
      <c r="G11" s="3" t="s">
        <v>0</v>
      </c>
      <c r="H11" t="str">
        <f>LEFTB(Sheet1!D8&amp;REPT(" ",$H$2),$H$2)</f>
        <v xml:space="preserve">Ty Dolla $ign, Kanye West, feat. YG, Nipsey Hussle         </v>
      </c>
      <c r="I11" s="3" t="s">
        <v>0</v>
      </c>
      <c r="J11" s="2" t="str">
        <f>TEXT(Sheet1!E8,"HH:MM")&amp;" "</f>
        <v xml:space="preserve">03:45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PAPERWORK       </v>
      </c>
      <c r="E12" s="3" t="s">
        <v>0</v>
      </c>
      <c r="F12" t="str">
        <f>" "&amp;LEFTB(Sheet1!C9&amp;REPT(" ",$F$2),$F$2)</f>
        <v xml:space="preserve"> Kanye West, Ty Dolla $ign, Quavo, Digital Nas, The Legendary Traxster, 88-Keys, Swizz Beatz, Ant Clemons, DJ Vitinho Beat, DJ Roca 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Ty Dolla $ign, Kanye West feat. Quavo                      </v>
      </c>
      <c r="I12" s="3" t="s">
        <v>0</v>
      </c>
      <c r="J12" s="2" t="str">
        <f>TEXT(Sheet1!E9,"HH:MM")&amp;" "</f>
        <v xml:space="preserve">02:25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BURN            </v>
      </c>
      <c r="E13" s="3" t="s">
        <v>0</v>
      </c>
      <c r="F13" t="str">
        <f>" "&amp;LEFTB(Sheet1!C10&amp;REPT(" ",$F$2),$F$2)</f>
        <v xml:space="preserve"> Kanye West, Ty Dolla $ign, Azul, Chrishan, Morten “Rissi” Ristorp, The Legendary Traxster, Leon Thomas III, BEAM, Valentina Pappalardo, John Beck                                                                            </v>
      </c>
      <c r="G13" s="3" t="s">
        <v>0</v>
      </c>
      <c r="H13" t="str">
        <f>LEFTB(Sheet1!D10&amp;REPT(" ",$H$2),$H$2)</f>
        <v xml:space="preserve">Ty Dolla $ign, Kanye West                                  </v>
      </c>
      <c r="I13" s="3" t="s">
        <v>0</v>
      </c>
      <c r="J13" s="2" t="str">
        <f>TEXT(Sheet1!E10,"HH:MM")&amp;" "</f>
        <v xml:space="preserve">01:51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FUK SUMN        </v>
      </c>
      <c r="E14" s="3" t="s">
        <v>0</v>
      </c>
      <c r="F14" t="str">
        <f>" "&amp;LEFTB(Sheet1!C11&amp;REPT(" ",$F$2),$F$2)</f>
        <v xml:space="preserve"> Kanye West, Playboi Carti, Timbaland, SHDØW, Hubi, Digital Nas, AyoAA, Chrishan, JPEGMAFIA, Quavo, Quentin Miller, BBYKOBE, Ty Dolla $ign, The Legendary Traxster, 88-Keys, DJ Paul, Robert Cooper                            </v>
      </c>
      <c r="G14" s="3" t="s">
        <v>0</v>
      </c>
      <c r="H14" t="str">
        <f>LEFTB(Sheet1!D11&amp;REPT(" ",$H$2),$H$2)</f>
        <v>Ty Dolla $ign, Kanye West feat. Playboi Carti, Travis Scott</v>
      </c>
      <c r="I14" s="3" t="s">
        <v>0</v>
      </c>
      <c r="J14" s="2" t="str">
        <f>TEXT(Sheet1!E11,"HH:MM")&amp;" "</f>
        <v xml:space="preserve">03:29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VULTURES        </v>
      </c>
      <c r="E15" s="3" t="s">
        <v>0</v>
      </c>
      <c r="F15" t="str">
        <f>" "&amp;LEFTB(Sheet1!C12&amp;REPT(" ",$F$2),$F$2)</f>
        <v xml:space="preserve"> Kanye West, Ty Dolla $ign, Bump J, Lil Durk, Ambezza, Fya Man, Gustave Rudman, Raul Cubina, Mark Williams, Chordz, Juice, Wheezy, Adey, Jasper Harris, CyHi, Really Doe, Mowalola, Juicy J, DJ Paul, P. Thomas                 </v>
      </c>
      <c r="G15" s="3" t="s">
        <v>0</v>
      </c>
      <c r="H15" t="str">
        <f>LEFTB(Sheet1!D12&amp;REPT(" ",$H$2),$H$2)</f>
        <v xml:space="preserve">Ty Dolla $ign, Kanye West feat. Bump J, Lil Durk           </v>
      </c>
      <c r="I15" s="3" t="s">
        <v>0</v>
      </c>
      <c r="J15" s="2" t="str">
        <f>TEXT(Sheet1!E12,"HH:MM")&amp;" "</f>
        <v xml:space="preserve">04:36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CARNIVAL        </v>
      </c>
      <c r="E16" s="3" t="s">
        <v>0</v>
      </c>
      <c r="F16" t="str">
        <f>" "&amp;LEFTB(Sheet1!C13&amp;REPT(" ",$F$2),$F$2)</f>
        <v xml:space="preserve"> Kanye West, Ty Dolla $ign, Rich The Kid, Playboi Carti, TheLabCook, The Legendary Traxster, Mark Williams, Raul Cubina, Digital Nas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Ty Dolla $ign, Kanye West                                  </v>
      </c>
      <c r="I16" s="3" t="s">
        <v>0</v>
      </c>
      <c r="J16" s="2" t="str">
        <f>TEXT(Sheet1!E13,"HH:MM")&amp;" "</f>
        <v xml:space="preserve">04:24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BEG FORGIVENESS </v>
      </c>
      <c r="E17" s="3" t="s">
        <v>0</v>
      </c>
      <c r="F17" t="str">
        <f>" "&amp;LEFTB(Sheet1!C14&amp;REPT(" ",$F$2),$F$2)</f>
        <v xml:space="preserve"> Kanye West, Ty Dolla $ign, Chris Brown, London on da Track, VITALS (Producer), Digital Nas, JPEGMAFIA, Quentin Miller, Faouzia, Billy Ray Schlag, Anthony Kilhoffer, KSJ Beats, Valentina Pappalardo, John Beck, Joseph Goddard</v>
      </c>
      <c r="G17" s="3" t="s">
        <v>0</v>
      </c>
      <c r="H17" t="str">
        <f>LEFTB(Sheet1!D14&amp;REPT(" ",$H$2),$H$2)</f>
        <v xml:space="preserve">Ty Dolla $ign, Kanye West feat. Chris Brown                </v>
      </c>
      <c r="I17" s="3" t="s">
        <v>0</v>
      </c>
      <c r="J17" s="2" t="str">
        <f>TEXT(Sheet1!E14,"HH:MM")&amp;" "</f>
        <v xml:space="preserve">06:08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>GOOD (DON'T DIE)</v>
      </c>
      <c r="E18" s="3" t="s">
        <v>0</v>
      </c>
      <c r="F18" t="str">
        <f>" "&amp;LEFTB(Sheet1!C15&amp;REPT(" ",$F$2),$F$2)</f>
        <v xml:space="preserve"> Kanye West, Ty Dolla $ign, will.i.am, Johnny Goldstein, BBYKOBE, No I.D., Sasha Hashemi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Ty Dolla $ign, Kanye West                                  </v>
      </c>
      <c r="I18" s="3" t="s">
        <v>0</v>
      </c>
      <c r="J18" s="2" t="str">
        <f>TEXT(Sheet1!E15,"HH:MM")&amp;" "</f>
        <v xml:space="preserve">03:19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PROBLEMATIC     </v>
      </c>
      <c r="E19" s="3" t="s">
        <v>0</v>
      </c>
      <c r="F19" t="str">
        <f>" "&amp;LEFTB(Sheet1!C16&amp;REPT(" ",$F$2),$F$2)</f>
        <v xml:space="preserve"> Kanye West, Ty Dolla $ign, 88-Keys, Chad Hugo, DJ Camper, Slonka (Manuel), Ant Clemons, OneInThe4Rest, Sevyn Streeter, D.Charles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Ty Dolla $ign, Kanye West                                  </v>
      </c>
      <c r="I19" s="3" t="s">
        <v>0</v>
      </c>
      <c r="J19" s="2" t="str">
        <f>TEXT(Sheet1!E16,"HH:MM")&amp;" "</f>
        <v xml:space="preserve">03:14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KING            </v>
      </c>
      <c r="E20" s="3" t="s">
        <v>0</v>
      </c>
      <c r="F20" t="str">
        <f>" "&amp;LEFTB(Sheet1!C17&amp;REPT(" ",$F$2),$F$2)</f>
        <v xml:space="preserve"> Kanye West, Ty Dolla $ign, Lester Nowhere, Wheezy, Dez Wright, 88-Keys, JPEGMAFIA, Freddie Gibbs, VIC MENSA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Ty Dolla $ign, Kanye West, \$                              </v>
      </c>
      <c r="I20" s="3" t="s">
        <v>0</v>
      </c>
      <c r="J20" s="2" t="str">
        <f>TEXT(Sheet1!E17,"HH:MM")&amp;" "</f>
        <v xml:space="preserve">02:36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CCC5-97A4-485D-B599-00367F590BAA}">
  <dimension ref="A1:E17"/>
  <sheetViews>
    <sheetView workbookViewId="0">
      <selection sqref="A1:XFD1048576"/>
    </sheetView>
  </sheetViews>
  <sheetFormatPr defaultRowHeight="19.5"/>
  <cols>
    <col min="1" max="1" width="6.21875" bestFit="1" customWidth="1"/>
    <col min="2" max="2" width="19" bestFit="1" customWidth="1"/>
    <col min="3" max="3" width="80.88671875" bestFit="1" customWidth="1"/>
    <col min="4" max="4" width="53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7.9861111111111105E-2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0.12083333333333333</v>
      </c>
    </row>
    <row r="4" spans="1:5">
      <c r="A4">
        <v>3</v>
      </c>
      <c r="B4" s="6" t="s">
        <v>14</v>
      </c>
      <c r="C4" s="6" t="s">
        <v>15</v>
      </c>
      <c r="D4" s="6" t="s">
        <v>10</v>
      </c>
      <c r="E4" s="5">
        <v>0.13541666666666666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0.12847222222222221</v>
      </c>
    </row>
    <row r="6" spans="1:5">
      <c r="A6">
        <v>5</v>
      </c>
      <c r="B6" s="6" t="s">
        <v>19</v>
      </c>
      <c r="C6" s="6" t="s">
        <v>20</v>
      </c>
      <c r="D6" s="6" t="s">
        <v>21</v>
      </c>
      <c r="E6" s="5">
        <v>0.2048611111111111</v>
      </c>
    </row>
    <row r="7" spans="1:5">
      <c r="A7">
        <v>6</v>
      </c>
      <c r="B7" s="6" t="s">
        <v>22</v>
      </c>
      <c r="C7" s="6" t="s">
        <v>23</v>
      </c>
      <c r="D7" s="6" t="s">
        <v>24</v>
      </c>
      <c r="E7" s="5">
        <v>0.15416666666666667</v>
      </c>
    </row>
    <row r="8" spans="1:5">
      <c r="A8">
        <v>7</v>
      </c>
      <c r="B8" s="6" t="s">
        <v>25</v>
      </c>
      <c r="C8" s="6" t="s">
        <v>26</v>
      </c>
      <c r="D8" s="6" t="s">
        <v>27</v>
      </c>
      <c r="E8" s="5">
        <v>0.15625</v>
      </c>
    </row>
    <row r="9" spans="1:5">
      <c r="A9">
        <v>8</v>
      </c>
      <c r="B9" s="6" t="s">
        <v>28</v>
      </c>
      <c r="C9" s="6" t="s">
        <v>29</v>
      </c>
      <c r="D9" s="6" t="s">
        <v>30</v>
      </c>
      <c r="E9" s="5">
        <v>0.10069444444444445</v>
      </c>
    </row>
    <row r="10" spans="1:5">
      <c r="A10">
        <v>9</v>
      </c>
      <c r="B10" s="6" t="s">
        <v>31</v>
      </c>
      <c r="C10" s="6" t="s">
        <v>32</v>
      </c>
      <c r="D10" s="6" t="s">
        <v>10</v>
      </c>
      <c r="E10" s="5">
        <v>7.7083333333333337E-2</v>
      </c>
    </row>
    <row r="11" spans="1:5">
      <c r="A11">
        <v>10</v>
      </c>
      <c r="B11" s="6" t="s">
        <v>33</v>
      </c>
      <c r="C11" s="6" t="s">
        <v>34</v>
      </c>
      <c r="D11" s="6" t="s">
        <v>35</v>
      </c>
      <c r="E11" s="5">
        <v>0.1451388888888889</v>
      </c>
    </row>
    <row r="12" spans="1:5">
      <c r="A12">
        <v>11</v>
      </c>
      <c r="B12" s="6" t="s">
        <v>36</v>
      </c>
      <c r="C12" s="6" t="s">
        <v>37</v>
      </c>
      <c r="D12" s="6" t="s">
        <v>38</v>
      </c>
      <c r="E12" s="5">
        <v>0.19166666666666668</v>
      </c>
    </row>
    <row r="13" spans="1:5">
      <c r="A13">
        <v>12</v>
      </c>
      <c r="B13" s="6" t="s">
        <v>39</v>
      </c>
      <c r="C13" s="6" t="s">
        <v>40</v>
      </c>
      <c r="D13" s="6" t="s">
        <v>10</v>
      </c>
      <c r="E13" s="5">
        <v>0.18333333333333332</v>
      </c>
    </row>
    <row r="14" spans="1:5">
      <c r="A14">
        <v>13</v>
      </c>
      <c r="B14" s="6" t="s">
        <v>41</v>
      </c>
      <c r="C14" s="6" t="s">
        <v>42</v>
      </c>
      <c r="D14" s="6" t="s">
        <v>43</v>
      </c>
      <c r="E14" s="5">
        <v>0.25555555555555554</v>
      </c>
    </row>
    <row r="15" spans="1:5">
      <c r="A15">
        <v>14</v>
      </c>
      <c r="B15" s="6" t="s">
        <v>44</v>
      </c>
      <c r="C15" s="6" t="s">
        <v>45</v>
      </c>
      <c r="D15" s="6" t="s">
        <v>10</v>
      </c>
      <c r="E15" s="5">
        <v>0.13819444444444445</v>
      </c>
    </row>
    <row r="16" spans="1:5">
      <c r="A16">
        <v>15</v>
      </c>
      <c r="B16" s="6" t="s">
        <v>46</v>
      </c>
      <c r="C16" s="6" t="s">
        <v>47</v>
      </c>
      <c r="D16" s="6" t="s">
        <v>10</v>
      </c>
      <c r="E16" s="5">
        <v>0.13472222222222222</v>
      </c>
    </row>
    <row r="17" spans="1:5">
      <c r="A17">
        <v>16</v>
      </c>
      <c r="B17" s="6" t="s">
        <v>48</v>
      </c>
      <c r="C17" s="6" t="s">
        <v>49</v>
      </c>
      <c r="D17" s="6" t="s">
        <v>50</v>
      </c>
      <c r="E17" s="5">
        <v>0.10833333333333334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111FF-651A-4E76-B3F0-AEF6867E0130}">
  <dimension ref="B2:E12"/>
  <sheetViews>
    <sheetView workbookViewId="0"/>
  </sheetViews>
  <sheetFormatPr defaultRowHeight="19.5"/>
  <cols>
    <col min="1" max="1" width="11" bestFit="1" customWidth="1"/>
    <col min="2" max="2" width="12.6640625" bestFit="1" customWidth="1"/>
    <col min="3" max="3" width="22.88671875" bestFit="1" customWidth="1"/>
    <col min="4" max="4" width="11.88671875" bestFit="1" customWidth="1"/>
    <col min="5" max="5" width="7.777343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D8D7D-544A-4A5E-AFEE-64355AC17704}">
  <dimension ref="E2:E12"/>
  <sheetViews>
    <sheetView workbookViewId="0"/>
  </sheetViews>
  <sheetFormatPr defaultRowHeight="19.5"/>
  <cols>
    <col min="1" max="1" width="11" bestFit="1" customWidth="1"/>
    <col min="2" max="2" width="34.44140625" bestFit="1" customWidth="1"/>
    <col min="3" max="3" width="80.88671875" bestFit="1" customWidth="1"/>
    <col min="4" max="4" width="35.332031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Table 3 (73)</vt:lpstr>
      <vt:lpstr>Table 3 (71)</vt:lpstr>
      <vt:lpstr>Table 3 (69)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2024-05-19T12:07:50Z</dcterms:modified>
</cp:coreProperties>
</file>