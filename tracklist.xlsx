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arbon\mcs_v4\"/>
    </mc:Choice>
  </mc:AlternateContent>
  <xr:revisionPtr revIDLastSave="0" documentId="13_ncr:1_{2BE12C48-9B37-4690-B535-577F63F0B2C8}" xr6:coauthVersionLast="47" xr6:coauthVersionMax="47" xr10:uidLastSave="{00000000-0000-0000-0000-000000000000}"/>
  <bookViews>
    <workbookView xWindow="11160" yWindow="3996" windowWidth="22104" windowHeight="16824" activeTab="1" xr2:uid="{00000000-000D-0000-FFFF-FFFF00000000}"/>
  </bookViews>
  <sheets>
    <sheet name="Sheet1" sheetId="1" r:id="rId1"/>
    <sheet name="Sheet2" sheetId="2" r:id="rId2"/>
    <sheet name="テーブル 5 (53)" sheetId="66" r:id="rId3"/>
    <sheet name="テーブル 5 (51)" sheetId="65" r:id="rId4"/>
    <sheet name="テーブル 5 (33)" sheetId="56" r:id="rId5"/>
  </sheets>
  <definedNames>
    <definedName name="ExternalData_1" localSheetId="2" hidden="1">'テーブル 5 (53)'!$A$1:$E$23</definedName>
    <definedName name="ExternalData_2" localSheetId="0" hidden="1">Sheet1!$A$1:$E$23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0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3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3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<sst xmlns="http://schemas.openxmlformats.org/spreadsheetml/2006/main" count="312" uniqueCount="68">
  <si>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</si>
  <si>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</si>
  <si>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</si>
  <si>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</si>
  <si>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</si>
  <si>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</si>
  <si>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</si>
  <si>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</si>
  <si>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She’s Expecting You</t>
  </si>
  <si>
    <t>Mralanna Evans, Juwan Elcock, Chester Burnett</t>
  </si>
  <si>
    <t>Rapsody feat. Phylicia Rashad</t>
  </si>
  <si>
    <t>Marlanna</t>
  </si>
  <si>
    <t>Mralanna Evans, Juwan Elcock, Anthony Bloussard</t>
  </si>
  <si>
    <t>Rapsody</t>
  </si>
  <si>
    <t>Asteroids</t>
  </si>
  <si>
    <t>Mralanna Evans, Chauncey Hollis Jr. Dustin Corbett</t>
  </si>
  <si>
    <t>Rapsody &amp; Hit-Boy</t>
  </si>
  <si>
    <t>Look What You’ve Done</t>
  </si>
  <si>
    <t>Mralanna Evans, Juwan Elcock, Lara Maigue, Alejandro Rios</t>
  </si>
  <si>
    <t>DND (It’s Not Personal)</t>
  </si>
  <si>
    <t>Dallas Austin, Mralanna Evans, Brittany Chikyra Barber, Justin Martin,
                  Quincy Jones, George Clinton, Juwan Elcock, Derrick Simmons, James Todd
                  Smith, Jerry Davis, Philippe Wynne, Willie Baker</t>
  </si>
  <si>
    <t>Rapsody feat. Bee-B</t>
  </si>
  <si>
    <t>Black Popstar</t>
  </si>
  <si>
    <t>Mralanna Evans, Darius Dixson, Larry Griffin Jr., Stuart Lowery</t>
  </si>
  <si>
    <t>Rapsodyfeat. DIXON</t>
  </si>
  <si>
    <t>Stand Tall</t>
  </si>
  <si>
    <t>Mralanna Evans, Curtis Colbert, Harriet Hurst, Eric Gabouer</t>
  </si>
  <si>
    <t>That One Time</t>
  </si>
  <si>
    <t>Mralanna Evans, Juwan Elcock</t>
  </si>
  <si>
    <t>3:AM</t>
  </si>
  <si>
    <t>Mralanna Evans, Erykah Badu, Larry Griffin Jr., Marc Bridges</t>
  </si>
  <si>
    <t>Rapsody feat. Erykah Badu</t>
  </si>
  <si>
    <t>Loose Rocks</t>
  </si>
  <si>
    <t>Mralanna Evans, Alex Isley, Larry Griffin Jr., Tim German</t>
  </si>
  <si>
    <t>Rapsody feat. Alex Isley</t>
  </si>
  <si>
    <t>Diary Of A Mad Bitch</t>
  </si>
  <si>
    <t>Mralanna Evans, Bibi Bourelly, Larry Griffin Jr., Kelvin Wooten</t>
  </si>
  <si>
    <t>Rapsody feat. Bibi Bourelly</t>
  </si>
  <si>
    <t>Never Enough</t>
  </si>
  <si>
    <t>Mralanna Evans, Keznamdi McDonald, Omar Walker</t>
  </si>
  <si>
    <t>Rapsody feat. Keznamdi, Nicole Bus</t>
  </si>
  <si>
    <t>He Shot Me</t>
  </si>
  <si>
    <t>Mralanna Evans, Juwan Elcock, Bob Marley</t>
  </si>
  <si>
    <t>God’s Light</t>
  </si>
  <si>
    <t>Mralanna Evans, Eric Gabouer, Jamar McNaughton, Kelsey Gonz?lez, Matthew
                  Merisola, Vicky Farewell Nguyen, Danniel McKinnon, David Pimentel</t>
  </si>
  <si>
    <t>Back In My Bag</t>
  </si>
  <si>
    <t>Ebo Taylor, Mralanna Evans, Omar Walker</t>
  </si>
  <si>
    <t>Niko’s Interlude</t>
  </si>
  <si>
    <t>Niko Brim</t>
  </si>
  <si>
    <t>Rapsody feat. Niko Brim</t>
  </si>
  <si>
    <t>Raw</t>
  </si>
  <si>
    <t>Mralanna Evans, Dwayne Carter, Kelvin Wooten, Larry Griffin Jr., Niko Brim,
                  Robert F Diggs, Russel Jones</t>
  </si>
  <si>
    <t>Rapsody feat. Lil Wayne, Niko Brim</t>
  </si>
  <si>
    <t>Lonely Women</t>
  </si>
  <si>
    <t>Mralanna Evans, Juwan Elcock, Alejandro Rios</t>
  </si>
  <si>
    <t>A Ballad For Homegirls</t>
  </si>
  <si>
    <t>Mralanna Evans, Juwan Elcock, Tate Sequoya Farris, Steve Octave, Lara</t>
  </si>
  <si>
    <t>Rapsody feat. BabyTate</t>
  </si>
  <si>
    <t>Please Don’t Dry Interlude</t>
  </si>
  <si>
    <t>Mralanna Evans, Andre Mego, Omar Walker</t>
  </si>
  <si>
    <t>Faith</t>
  </si>
  <si>
    <t>Mralanna Evans, Ayotunde Elizabeth Awosika, Omar Walker</t>
  </si>
  <si>
    <t>Forget Me Not</t>
  </si>
  <si>
    <t>Mralanna Evans, Amber Navran, Eric Gabouer, Ciarán McDonald</t>
  </si>
  <si>
    <t>Rapsody feat. Phylicia Rashad, Amber Navran</t>
  </si>
  <si>
    <t>Dallas Austin, Mralanna Evans, Brittany Chikyra Barber, Justin Martin,                  Quincy Jones, George Clinton, Juwan Elcock, Derrick Simmons, James Todd                  Smith, Jerry Davis, Philippe Wynne, Willie Baker</t>
    <phoneticPr fontId="1"/>
  </si>
  <si>
    <t>Mralanna Evans, Eric Gabouer, Jamar McNaughton, Kelsey Gonz?lez, Matthew                  Merisola, Vicky Farewell Nguyen, Danniel McKinnon, David Pimentel</t>
    <phoneticPr fontId="1"/>
  </si>
  <si>
    <t>Mralanna Evans, Dwayne Carter, Kelvin Wooten, Larry Griffin Jr., Niko Brim,                  Robert F Diggs, Russel Jones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</si>
</sst>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vertical="center" wrapText="1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8" xr16:uid="{9D287B7A-F9E1-4059-BFE5-854C067FD628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7" xr16:uid="{B10CD46E-BFF0-4DA8-8FC9-679E1507DA36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C3E86E-ED87-489D-AE9C-4455594A2F00}" name="テーブル_5__535" displayName="テーブル_5__535" ref="A1:E23" tableType="queryTable" totalsRowShown="0">
  <autoFilter ref="A1:E23" xr:uid="{47C3E86E-ED87-489D-AE9C-4455594A2F00}"/>
  <tableColumns count="5">
    <tableColumn id="1" xr3:uid="{A1B243C2-C003-499F-BEDA-E0B0887222D5}" uniqueName="1" name="Column1" queryTableFieldId="1"/>
    <tableColumn id="2" xr3:uid="{6FE91CC1-F96D-473B-B5CE-C1653F363B94}" uniqueName="2" name="Title" queryTableFieldId="2" dataDxfId="3"/>
    <tableColumn id="3" xr3:uid="{51EA0DEE-6D6E-49EE-9D0B-0E17B9A89DC4}" uniqueName="3" name="Composer" queryTableFieldId="3" dataDxfId="2"/>
    <tableColumn id="4" xr3:uid="{63696843-E39E-4D9B-BA7F-C577F8E47E73}" uniqueName="4" name="Performer" queryTableFieldId="4" dataDxfId="1"/>
    <tableColumn id="5" xr3:uid="{58CCB30C-99EA-4B47-9539-09E76569B7B8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7F4EC8-41D7-4834-B1F5-A8A5BDF38371}" name="テーブル_5__53" displayName="テーブル_5__53" ref="A1:E23" tableType="queryTable" totalsRowShown="0">
  <autoFilter ref="A1:E23" xr:uid="{A87F4EC8-41D7-4834-B1F5-A8A5BDF38371}"/>
  <tableColumns count="5">
    <tableColumn id="1" xr3:uid="{8F457B9C-6952-49F4-9384-55BCA1725942}" uniqueName="1" name="Column1" queryTableFieldId="1"/>
    <tableColumn id="2" xr3:uid="{3AE66781-A368-445F-85C2-152DF5F2D5EF}" uniqueName="2" name="Title" queryTableFieldId="2" dataDxfId="7"/>
    <tableColumn id="3" xr3:uid="{9E0EB1FC-DC54-4C63-A120-99EB14FD35B4}" uniqueName="3" name="Composer" queryTableFieldId="3" dataDxfId="6"/>
    <tableColumn id="4" xr3:uid="{D0C20AC7-DCB0-493A-9A87-AFDBAFD1A6BD}" uniqueName="4" name="Performer" queryTableFieldId="4" dataDxfId="5"/>
    <tableColumn id="5" xr3:uid="{3EBCD4D8-021E-46DD-9E9F-C21C9BA1081A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C19" sqref="C19"/>
    </sheetView>
  </sheetViews>
  <sheetFormatPr defaultRowHeight="19.8"/>
  <cols>
    <col min="1" max="1" width="10.81640625" bestFit="1" customWidth="1"/>
    <col min="2" max="2" width="24.54296875" bestFit="1" customWidth="1"/>
    <col min="3" max="3" width="80.7265625" bestFit="1" customWidth="1"/>
    <col min="4" max="4" width="41.9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4.7222222222222221E-2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0.10625</v>
      </c>
    </row>
    <row r="4" spans="1:5">
      <c r="A4">
        <v>3</v>
      </c>
      <c r="B4" s="6" t="s">
        <v>14</v>
      </c>
      <c r="C4" s="6" t="s">
        <v>15</v>
      </c>
      <c r="D4" s="6" t="s">
        <v>16</v>
      </c>
      <c r="E4" s="5">
        <v>0.1076388888888889</v>
      </c>
    </row>
    <row r="5" spans="1:5">
      <c r="A5">
        <v>4</v>
      </c>
      <c r="B5" s="6" t="s">
        <v>17</v>
      </c>
      <c r="C5" s="6" t="s">
        <v>18</v>
      </c>
      <c r="D5" s="6" t="s">
        <v>13</v>
      </c>
      <c r="E5" s="5">
        <v>0.18055555555555555</v>
      </c>
    </row>
    <row r="6" spans="1:5" ht="59.4">
      <c r="A6">
        <v>5</v>
      </c>
      <c r="B6" s="6" t="s">
        <v>19</v>
      </c>
      <c r="C6" s="7" t="s">
        <v>65</v>
      </c>
      <c r="D6" s="6" t="s">
        <v>21</v>
      </c>
      <c r="E6" s="5">
        <v>0.1076388888888889</v>
      </c>
    </row>
    <row r="7" spans="1:5">
      <c r="A7">
        <v>6</v>
      </c>
      <c r="B7" s="6" t="s">
        <v>22</v>
      </c>
      <c r="C7" s="6" t="s">
        <v>23</v>
      </c>
      <c r="D7" s="6" t="s">
        <v>24</v>
      </c>
      <c r="E7" s="5">
        <v>0.11041666666666666</v>
      </c>
    </row>
    <row r="8" spans="1:5">
      <c r="A8">
        <v>7</v>
      </c>
      <c r="B8" s="6" t="s">
        <v>25</v>
      </c>
      <c r="C8" s="6" t="s">
        <v>26</v>
      </c>
      <c r="D8" s="6" t="s">
        <v>13</v>
      </c>
      <c r="E8" s="5">
        <v>8.9583333333333334E-2</v>
      </c>
    </row>
    <row r="9" spans="1:5">
      <c r="A9">
        <v>8</v>
      </c>
      <c r="B9" s="6" t="s">
        <v>27</v>
      </c>
      <c r="C9" s="6" t="s">
        <v>28</v>
      </c>
      <c r="D9" s="6" t="s">
        <v>13</v>
      </c>
      <c r="E9" s="5">
        <v>0.13402777777777777</v>
      </c>
    </row>
    <row r="10" spans="1:5">
      <c r="A10">
        <v>9</v>
      </c>
      <c r="B10" s="6" t="s">
        <v>29</v>
      </c>
      <c r="C10" s="6" t="s">
        <v>30</v>
      </c>
      <c r="D10" s="6" t="s">
        <v>31</v>
      </c>
      <c r="E10" s="5">
        <v>0.14791666666666667</v>
      </c>
    </row>
    <row r="11" spans="1:5">
      <c r="A11">
        <v>10</v>
      </c>
      <c r="B11" s="6" t="s">
        <v>32</v>
      </c>
      <c r="C11" s="6" t="s">
        <v>33</v>
      </c>
      <c r="D11" s="6" t="s">
        <v>34</v>
      </c>
      <c r="E11" s="5">
        <v>0.1673611111111111</v>
      </c>
    </row>
    <row r="12" spans="1:5">
      <c r="A12">
        <v>11</v>
      </c>
      <c r="B12" s="6" t="s">
        <v>35</v>
      </c>
      <c r="C12" s="6" t="s">
        <v>36</v>
      </c>
      <c r="D12" s="6" t="s">
        <v>37</v>
      </c>
      <c r="E12" s="5">
        <v>0.14097222222222222</v>
      </c>
    </row>
    <row r="13" spans="1:5">
      <c r="A13">
        <v>12</v>
      </c>
      <c r="B13" s="6" t="s">
        <v>38</v>
      </c>
      <c r="C13" s="6" t="s">
        <v>39</v>
      </c>
      <c r="D13" s="6" t="s">
        <v>40</v>
      </c>
      <c r="E13" s="5">
        <v>0.15972222222222221</v>
      </c>
    </row>
    <row r="14" spans="1:5">
      <c r="A14">
        <v>13</v>
      </c>
      <c r="B14" s="6" t="s">
        <v>41</v>
      </c>
      <c r="C14" s="6" t="s">
        <v>42</v>
      </c>
      <c r="D14" s="6" t="s">
        <v>13</v>
      </c>
      <c r="E14" s="5">
        <v>0.13125000000000001</v>
      </c>
    </row>
    <row r="15" spans="1:5">
      <c r="A15">
        <v>14</v>
      </c>
      <c r="B15" s="6" t="s">
        <v>43</v>
      </c>
      <c r="C15" s="6" t="s">
        <v>66</v>
      </c>
      <c r="D15" s="6" t="s">
        <v>13</v>
      </c>
      <c r="E15" s="5">
        <v>0.11041666666666666</v>
      </c>
    </row>
    <row r="16" spans="1:5">
      <c r="A16">
        <v>15</v>
      </c>
      <c r="B16" s="6" t="s">
        <v>45</v>
      </c>
      <c r="C16" s="6" t="s">
        <v>46</v>
      </c>
      <c r="D16" s="6" t="s">
        <v>13</v>
      </c>
      <c r="E16" s="5">
        <v>0.12569444444444444</v>
      </c>
    </row>
    <row r="17" spans="1:5">
      <c r="A17">
        <v>16</v>
      </c>
      <c r="B17" s="6" t="s">
        <v>47</v>
      </c>
      <c r="C17" s="6" t="s">
        <v>48</v>
      </c>
      <c r="D17" s="6" t="s">
        <v>49</v>
      </c>
      <c r="E17" s="5">
        <v>4.4444444444444446E-2</v>
      </c>
    </row>
    <row r="18" spans="1:5">
      <c r="A18">
        <v>17</v>
      </c>
      <c r="B18" s="6" t="s">
        <v>50</v>
      </c>
      <c r="C18" s="6" t="s">
        <v>67</v>
      </c>
      <c r="D18" s="6" t="s">
        <v>52</v>
      </c>
      <c r="E18" s="5">
        <v>0.11388888888888889</v>
      </c>
    </row>
    <row r="19" spans="1:5">
      <c r="A19">
        <v>18</v>
      </c>
      <c r="B19" s="6" t="s">
        <v>53</v>
      </c>
      <c r="C19" s="6" t="s">
        <v>54</v>
      </c>
      <c r="D19" s="6" t="s">
        <v>13</v>
      </c>
      <c r="E19" s="5">
        <v>7.0833333333333331E-2</v>
      </c>
    </row>
    <row r="20" spans="1:5">
      <c r="A20">
        <v>19</v>
      </c>
      <c r="B20" s="6" t="s">
        <v>55</v>
      </c>
      <c r="C20" s="6" t="s">
        <v>56</v>
      </c>
      <c r="D20" s="6" t="s">
        <v>57</v>
      </c>
      <c r="E20" s="5">
        <v>0.18194444444444444</v>
      </c>
    </row>
    <row r="21" spans="1:5">
      <c r="A21">
        <v>20</v>
      </c>
      <c r="B21" s="6" t="s">
        <v>58</v>
      </c>
      <c r="C21" s="6" t="s">
        <v>59</v>
      </c>
      <c r="D21" s="6" t="s">
        <v>10</v>
      </c>
      <c r="E21" s="5">
        <v>8.4027777777777785E-2</v>
      </c>
    </row>
    <row r="22" spans="1:5">
      <c r="A22">
        <v>21</v>
      </c>
      <c r="B22" s="6" t="s">
        <v>60</v>
      </c>
      <c r="C22" s="6" t="s">
        <v>61</v>
      </c>
      <c r="D22" s="6" t="s">
        <v>13</v>
      </c>
      <c r="E22" s="5">
        <v>0.14930555555555555</v>
      </c>
    </row>
    <row r="23" spans="1:5">
      <c r="A23">
        <v>22</v>
      </c>
      <c r="B23" s="6" t="s">
        <v>62</v>
      </c>
      <c r="C23" s="6" t="s">
        <v>63</v>
      </c>
      <c r="D23" s="6" t="s">
        <v>64</v>
      </c>
      <c r="E23" s="5">
        <v>0.19027777777777777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26" sqref="A3:K26"/>
    </sheetView>
  </sheetViews>
  <sheetFormatPr defaultColWidth="11.54296875" defaultRowHeight="19.8"/>
  <cols>
    <col min="1" max="1" width="4.1796875" customWidth="1"/>
    <col min="3" max="3" width="3.90625" style="3" customWidth="1"/>
    <col min="4" max="4" width="21.08984375" customWidth="1"/>
    <col min="5" max="5" width="4" style="3" customWidth="1"/>
    <col min="6" max="6" width="119.1796875" bestFit="1" customWidth="1"/>
    <col min="7" max="7" width="4.453125" style="3" customWidth="1"/>
    <col min="8" max="8" width="21.81640625" customWidth="1"/>
    <col min="9" max="9" width="4.36328125" style="3" customWidth="1"/>
    <col min="10" max="10" width="8.453125" customWidth="1"/>
    <col min="11" max="11" width="3.453125" style="3" customWidth="1"/>
  </cols>
  <sheetData>
    <row r="2" spans="1:11">
      <c r="D2" s="1">
        <f t="array" ref="D2">MAX(LENB(Sheet1!B1:'Sheet1'!B30))</f>
        <v>27</v>
      </c>
      <c r="F2" s="1">
        <f t="array" ref="F2">MAX(LENB(Sheet1!C1:'Sheet1'!C30))</f>
        <v>225</v>
      </c>
      <c r="H2" s="1">
        <f t="array" ref="H2">MAX(LENB(Sheet1!D1:'Sheet1'!D30))</f>
        <v>43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She’s Expecting You       </v>
      </c>
      <c r="E5" s="3" t="s">
        <v>0</v>
      </c>
      <c r="F5" t="str">
        <f>" "&amp;LEFTB(Sheet1!C2&amp;REPT(" ",$F$2),$F$2)</f>
        <v xml:space="preserve"> Mralanna Evans, Juwan Elcock, Chester Burnett                                                                      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Rapsody feat. Phylicia Rashad              </v>
      </c>
      <c r="I5" s="3" t="s">
        <v>0</v>
      </c>
      <c r="J5" s="2" t="str">
        <f>TEXT(Sheet1!E2,"HH:MM")&amp;" "</f>
        <v xml:space="preserve">01:08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Marlanna                   </v>
      </c>
      <c r="E6" s="3" t="s">
        <v>0</v>
      </c>
      <c r="F6" t="str">
        <f>" "&amp;LEFTB(Sheet1!C3&amp;REPT(" ",$F$2),$F$2)</f>
        <v xml:space="preserve"> Mralanna Evans, Juwan Elcock, Anthony Bloussard                                                                 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Rapsody                                    </v>
      </c>
      <c r="I6" s="3" t="s">
        <v>0</v>
      </c>
      <c r="J6" s="2" t="str">
        <f>TEXT(Sheet1!E3,"HH:MM")&amp;" "</f>
        <v xml:space="preserve">02:33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Asteroids                  </v>
      </c>
      <c r="E7" s="3" t="s">
        <v>0</v>
      </c>
      <c r="F7" t="str">
        <f>" "&amp;LEFTB(Sheet1!C4&amp;REPT(" ",$F$2),$F$2)</f>
        <v xml:space="preserve"> Mralanna Evans, Chauncey Hollis Jr. Dustin Corbett                                                                                                                                                                               </v>
      </c>
      <c r="G7" s="3" t="s">
        <v>0</v>
      </c>
      <c r="H7" t="str">
        <f>LEFTB(Sheet1!D4&amp;REPT(" ",$H$2),$H$2)</f>
        <v xml:space="preserve">Rapsody &amp; Hit-Boy                          </v>
      </c>
      <c r="I7" s="3" t="s">
        <v>0</v>
      </c>
      <c r="J7" s="2" t="str">
        <f>TEXT(Sheet1!E4,"HH:MM")&amp;" "</f>
        <v xml:space="preserve">02:35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Look What You’ve Done     </v>
      </c>
      <c r="E8" s="3" t="s">
        <v>0</v>
      </c>
      <c r="F8" t="str">
        <f>" "&amp;LEFTB(Sheet1!C5&amp;REPT(" ",$F$2),$F$2)</f>
        <v xml:space="preserve"> Mralanna Evans, Juwan Elcock, Lara Maigue, Alejandro Rios                                                                                                                                                                        </v>
      </c>
      <c r="G8" s="3" t="s">
        <v>0</v>
      </c>
      <c r="H8" t="str">
        <f>LEFTB(Sheet1!D5&amp;REPT(" ",$H$2),$H$2)</f>
        <v xml:space="preserve">Rapsody                                    </v>
      </c>
      <c r="I8" s="3" t="s">
        <v>0</v>
      </c>
      <c r="J8" s="2" t="str">
        <f>TEXT(Sheet1!E5,"HH:MM")&amp;" "</f>
        <v xml:space="preserve">04:20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DND (It’s Not Personal)   </v>
      </c>
      <c r="E9" s="3" t="s">
        <v>0</v>
      </c>
      <c r="F9" t="str">
        <f>" "&amp;LEFTB(Sheet1!C6&amp;REPT(" ",$F$2),$F$2)</f>
        <v xml:space="preserve"> Dallas Austin, Mralanna Evans, Brittany Chikyra Barber, Justin Martin,                  Quincy Jones, George Clinton, Juwan Elcock, Derrick Simmons, James Todd                  Smith, Jerry Davis, Philippe Wynne, Willie Baker</v>
      </c>
      <c r="G9" s="3" t="s">
        <v>0</v>
      </c>
      <c r="H9" t="str">
        <f>LEFTB(Sheet1!D6&amp;REPT(" ",$H$2),$H$2)</f>
        <v xml:space="preserve">Rapsody feat. Bee-B                        </v>
      </c>
      <c r="I9" s="3" t="s">
        <v>0</v>
      </c>
      <c r="J9" s="2" t="str">
        <f>TEXT(Sheet1!E6,"HH:MM")&amp;" "</f>
        <v xml:space="preserve">02:35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Black Popstar              </v>
      </c>
      <c r="E10" s="3" t="s">
        <v>0</v>
      </c>
      <c r="F10" t="str">
        <f>" "&amp;LEFTB(Sheet1!C7&amp;REPT(" ",$F$2),$F$2)</f>
        <v xml:space="preserve"> Mralanna Evans, Darius Dixson, Larry Griffin Jr., Stuart Lowery                                                                                                                                                                  </v>
      </c>
      <c r="G10" s="3" t="s">
        <v>0</v>
      </c>
      <c r="H10" t="str">
        <f>LEFTB(Sheet1!D7&amp;REPT(" ",$H$2),$H$2)</f>
        <v xml:space="preserve">Rapsodyfeat. DIXON                         </v>
      </c>
      <c r="I10" s="3" t="s">
        <v>0</v>
      </c>
      <c r="J10" s="2" t="str">
        <f>TEXT(Sheet1!E7,"HH:MM")&amp;" "</f>
        <v xml:space="preserve">02:39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Stand Tall                 </v>
      </c>
      <c r="E11" s="3" t="s">
        <v>0</v>
      </c>
      <c r="F11" t="str">
        <f>" "&amp;LEFTB(Sheet1!C8&amp;REPT(" ",$F$2),$F$2)</f>
        <v xml:space="preserve"> Mralanna Evans, Curtis Colbert, Harriet Hurst, Eric Gabouer                                                            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Rapsody                                    </v>
      </c>
      <c r="I11" s="3" t="s">
        <v>0</v>
      </c>
      <c r="J11" s="2" t="str">
        <f>TEXT(Sheet1!E8,"HH:MM")&amp;" "</f>
        <v xml:space="preserve">02:09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That One Time              </v>
      </c>
      <c r="E12" s="3" t="s">
        <v>0</v>
      </c>
      <c r="F12" t="str">
        <f>" "&amp;LEFTB(Sheet1!C9&amp;REPT(" ",$F$2),$F$2)</f>
        <v xml:space="preserve"> Mralanna Evans, Juwan Elcock                                                                                                        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Rapsody                                    </v>
      </c>
      <c r="I12" s="3" t="s">
        <v>0</v>
      </c>
      <c r="J12" s="2" t="str">
        <f>TEXT(Sheet1!E9,"HH:MM")&amp;" "</f>
        <v xml:space="preserve">03:13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3:AM                       </v>
      </c>
      <c r="E13" s="3" t="s">
        <v>0</v>
      </c>
      <c r="F13" t="str">
        <f>" "&amp;LEFTB(Sheet1!C10&amp;REPT(" ",$F$2),$F$2)</f>
        <v xml:space="preserve"> Mralanna Evans, Erykah Badu, Larry Griffin Jr., Marc Bridges                                                                                                                                                                     </v>
      </c>
      <c r="G13" s="3" t="s">
        <v>0</v>
      </c>
      <c r="H13" t="str">
        <f>LEFTB(Sheet1!D10&amp;REPT(" ",$H$2),$H$2)</f>
        <v xml:space="preserve">Rapsody feat. Erykah Badu                  </v>
      </c>
      <c r="I13" s="3" t="s">
        <v>0</v>
      </c>
      <c r="J13" s="2" t="str">
        <f>TEXT(Sheet1!E10,"HH:MM")&amp;" "</f>
        <v xml:space="preserve">03:33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Loose Rocks                </v>
      </c>
      <c r="E14" s="3" t="s">
        <v>0</v>
      </c>
      <c r="F14" t="str">
        <f>" "&amp;LEFTB(Sheet1!C11&amp;REPT(" ",$F$2),$F$2)</f>
        <v xml:space="preserve"> Mralanna Evans, Alex Isley, Larry Griffin Jr., Tim German                                                       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Rapsody feat. Alex Isley                   </v>
      </c>
      <c r="I14" s="3" t="s">
        <v>0</v>
      </c>
      <c r="J14" s="2" t="str">
        <f>TEXT(Sheet1!E11,"HH:MM")&amp;" "</f>
        <v xml:space="preserve">04:01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Diary Of A Mad Bitch       </v>
      </c>
      <c r="E15" s="3" t="s">
        <v>0</v>
      </c>
      <c r="F15" t="str">
        <f>" "&amp;LEFTB(Sheet1!C12&amp;REPT(" ",$F$2),$F$2)</f>
        <v xml:space="preserve"> Mralanna Evans, Bibi Bourelly, Larry Griffin Jr., Kelvin Wooten                                                                                                                                                                  </v>
      </c>
      <c r="G15" s="3" t="s">
        <v>0</v>
      </c>
      <c r="H15" t="str">
        <f>LEFTB(Sheet1!D12&amp;REPT(" ",$H$2),$H$2)</f>
        <v xml:space="preserve">Rapsody feat. Bibi Bourelly                </v>
      </c>
      <c r="I15" s="3" t="s">
        <v>0</v>
      </c>
      <c r="J15" s="2" t="str">
        <f>TEXT(Sheet1!E12,"HH:MM")&amp;" "</f>
        <v xml:space="preserve">03:23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Never Enough               </v>
      </c>
      <c r="E16" s="3" t="s">
        <v>0</v>
      </c>
      <c r="F16" t="str">
        <f>" "&amp;LEFTB(Sheet1!C13&amp;REPT(" ",$F$2),$F$2)</f>
        <v xml:space="preserve"> Mralanna Evans, Keznamdi McDonald, Omar Walker                                                  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Rapsody feat. Keznamdi, Nicole Bus         </v>
      </c>
      <c r="I16" s="3" t="s">
        <v>0</v>
      </c>
      <c r="J16" s="2" t="str">
        <f>TEXT(Sheet1!E13,"HH:MM")&amp;" "</f>
        <v xml:space="preserve">03:50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He Shot Me                 </v>
      </c>
      <c r="E17" s="3" t="s">
        <v>0</v>
      </c>
      <c r="F17" t="str">
        <f>" "&amp;LEFTB(Sheet1!C14&amp;REPT(" ",$F$2),$F$2)</f>
        <v xml:space="preserve"> Mralanna Evans, Juwan Elcock, Bob Marley                                                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Rapsody                                    </v>
      </c>
      <c r="I17" s="3" t="s">
        <v>0</v>
      </c>
      <c r="J17" s="2" t="str">
        <f>TEXT(Sheet1!E14,"HH:MM")&amp;" "</f>
        <v xml:space="preserve">03:09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God’s Light               </v>
      </c>
      <c r="E18" s="3" t="s">
        <v>0</v>
      </c>
      <c r="F18" t="str">
        <f>" "&amp;LEFTB(Sheet1!C15&amp;REPT(" ",$F$2),$F$2)</f>
        <v xml:space="preserve"> Mralanna Evans, Eric Gabouer, Jamar McNaughton, Kelsey Gonz?lez, Matthew                  Merisola, Vicky Farewell Nguyen, Danniel McKinnon, David Pimentel                                                                      </v>
      </c>
      <c r="G18" s="3" t="s">
        <v>0</v>
      </c>
      <c r="H18" t="str">
        <f>LEFTB(Sheet1!D15&amp;REPT(" ",$H$2),$H$2)</f>
        <v xml:space="preserve">Rapsody                                    </v>
      </c>
      <c r="I18" s="3" t="s">
        <v>0</v>
      </c>
      <c r="J18" s="2" t="str">
        <f>TEXT(Sheet1!E15,"HH:MM")&amp;" "</f>
        <v xml:space="preserve">02:39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Back In My Bag             </v>
      </c>
      <c r="E19" s="3" t="s">
        <v>0</v>
      </c>
      <c r="F19" t="str">
        <f>" "&amp;LEFTB(Sheet1!C16&amp;REPT(" ",$F$2),$F$2)</f>
        <v xml:space="preserve"> Ebo Taylor, Mralanna Evans, Omar Walker        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Rapsody                                    </v>
      </c>
      <c r="I19" s="3" t="s">
        <v>0</v>
      </c>
      <c r="J19" s="2" t="str">
        <f>TEXT(Sheet1!E16,"HH:MM")&amp;" "</f>
        <v xml:space="preserve">03:01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Niko’s Interlude          </v>
      </c>
      <c r="E20" s="3" t="s">
        <v>0</v>
      </c>
      <c r="F20" t="str">
        <f>" "&amp;LEFTB(Sheet1!C17&amp;REPT(" ",$F$2),$F$2)</f>
        <v xml:space="preserve"> Niko Brim                               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Rapsody feat. Niko Brim                    </v>
      </c>
      <c r="I20" s="3" t="s">
        <v>0</v>
      </c>
      <c r="J20" s="2" t="str">
        <f>TEXT(Sheet1!E17,"HH:MM")&amp;" "</f>
        <v xml:space="preserve">01:04 </v>
      </c>
      <c r="K20" s="3" t="s">
        <v>0</v>
      </c>
    </row>
    <row r="21" spans="1:11">
      <c r="A21" t="s">
        <v>0</v>
      </c>
      <c r="B21">
        <f>Sheet1!A18</f>
        <v>17</v>
      </c>
      <c r="C21" s="3" t="s">
        <v>0</v>
      </c>
      <c r="D21" t="str">
        <f>LEFTB(Sheet1!B18&amp;REPT(" ",$D$2),$D$2)</f>
        <v xml:space="preserve">Raw                        </v>
      </c>
      <c r="E21" s="3" t="s">
        <v>0</v>
      </c>
      <c r="F21" t="str">
        <f>" "&amp;LEFTB(Sheet1!C18&amp;REPT(" ",$F$2),$F$2)</f>
        <v xml:space="preserve"> Mralanna Evans, Dwayne Carter, Kelvin Wooten, Larry Griffin Jr., Niko Brim,                  Robert F Diggs, Russel Jones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Rapsody feat. Lil Wayne, Niko Brim         </v>
      </c>
      <c r="I21" s="3" t="s">
        <v>0</v>
      </c>
      <c r="J21" s="2" t="str">
        <f>TEXT(Sheet1!E18,"HH:MM")&amp;" "</f>
        <v xml:space="preserve">02:44 </v>
      </c>
      <c r="K21" s="3" t="s">
        <v>0</v>
      </c>
    </row>
    <row r="22" spans="1:11">
      <c r="A22" t="s">
        <v>0</v>
      </c>
      <c r="B22">
        <f>Sheet1!A19</f>
        <v>18</v>
      </c>
      <c r="C22" s="3" t="s">
        <v>0</v>
      </c>
      <c r="D22" t="str">
        <f>LEFTB(Sheet1!B19&amp;REPT(" ",$D$2),$D$2)</f>
        <v xml:space="preserve">Lonely Women               </v>
      </c>
      <c r="E22" s="3" t="s">
        <v>0</v>
      </c>
      <c r="F22" t="str">
        <f>" "&amp;LEFTB(Sheet1!C19&amp;REPT(" ",$F$2),$F$2)</f>
        <v xml:space="preserve"> Mralanna Evans, Juwan Elcock, Alejandro Rios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Rapsody                                    </v>
      </c>
      <c r="I22" s="3" t="s">
        <v>0</v>
      </c>
      <c r="J22" s="2" t="str">
        <f>TEXT(Sheet1!E19,"HH:MM")&amp;" "</f>
        <v xml:space="preserve">01:42 </v>
      </c>
      <c r="K22" s="3" t="s">
        <v>0</v>
      </c>
    </row>
    <row r="23" spans="1:11">
      <c r="A23" t="s">
        <v>0</v>
      </c>
      <c r="B23">
        <f>Sheet1!A20</f>
        <v>19</v>
      </c>
      <c r="C23" s="3" t="s">
        <v>0</v>
      </c>
      <c r="D23" t="str">
        <f>LEFTB(Sheet1!B20&amp;REPT(" ",$D$2),$D$2)</f>
        <v xml:space="preserve">A Ballad For Homegirls     </v>
      </c>
      <c r="E23" s="3" t="s">
        <v>0</v>
      </c>
      <c r="F23" t="str">
        <f>" "&amp;LEFTB(Sheet1!C20&amp;REPT(" ",$F$2),$F$2)</f>
        <v xml:space="preserve"> Mralanna Evans, Juwan Elcock, Tate Sequoya Farris, Steve Octave, Lara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Rapsody feat. BabyTate                     </v>
      </c>
      <c r="I23" s="3" t="s">
        <v>0</v>
      </c>
      <c r="J23" s="2" t="str">
        <f>TEXT(Sheet1!E20,"HH:MM")&amp;" "</f>
        <v xml:space="preserve">04:22 </v>
      </c>
      <c r="K23" s="3" t="s">
        <v>0</v>
      </c>
    </row>
    <row r="24" spans="1:11">
      <c r="A24" t="s">
        <v>0</v>
      </c>
      <c r="B24">
        <f>Sheet1!A21</f>
        <v>20</v>
      </c>
      <c r="C24" s="3" t="s">
        <v>0</v>
      </c>
      <c r="D24" t="str">
        <f>LEFTB(Sheet1!B21&amp;REPT(" ",$D$2),$D$2)</f>
        <v>Please Don’t Dry Interlude</v>
      </c>
      <c r="E24" s="3" t="s">
        <v>0</v>
      </c>
      <c r="F24" t="str">
        <f>" "&amp;LEFTB(Sheet1!C21&amp;REPT(" ",$F$2),$F$2)</f>
        <v xml:space="preserve"> Mralanna Evans, Andre Mego, Omar Walker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Rapsody feat. Phylicia Rashad              </v>
      </c>
      <c r="I24" s="3" t="s">
        <v>0</v>
      </c>
      <c r="J24" s="2" t="str">
        <f>TEXT(Sheet1!E21,"HH:MM")&amp;" "</f>
        <v xml:space="preserve">02:01 </v>
      </c>
      <c r="K24" s="3" t="s">
        <v>0</v>
      </c>
    </row>
    <row r="25" spans="1:11">
      <c r="A25" t="s">
        <v>0</v>
      </c>
      <c r="B25">
        <f>Sheet1!A22</f>
        <v>21</v>
      </c>
      <c r="C25" s="3" t="s">
        <v>0</v>
      </c>
      <c r="D25" t="str">
        <f>LEFTB(Sheet1!B22&amp;REPT(" ",$D$2),$D$2)</f>
        <v xml:space="preserve">Faith                      </v>
      </c>
      <c r="E25" s="3" t="s">
        <v>0</v>
      </c>
      <c r="F25" t="str">
        <f>" "&amp;LEFTB(Sheet1!C22&amp;REPT(" ",$F$2),$F$2)</f>
        <v xml:space="preserve"> Mralanna Evans, Ayotunde Elizabeth Awosika, Omar Walker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Rapsody                                    </v>
      </c>
      <c r="I25" s="3" t="s">
        <v>0</v>
      </c>
      <c r="J25" s="2" t="str">
        <f>TEXT(Sheet1!E22,"HH:MM")&amp;" "</f>
        <v xml:space="preserve">03:35 </v>
      </c>
      <c r="K25" s="3" t="s">
        <v>0</v>
      </c>
    </row>
    <row r="26" spans="1:11">
      <c r="A26" t="s">
        <v>0</v>
      </c>
      <c r="B26">
        <f>Sheet1!A23</f>
        <v>22</v>
      </c>
      <c r="C26" s="3" t="s">
        <v>0</v>
      </c>
      <c r="D26" t="str">
        <f>LEFTB(Sheet1!B23&amp;REPT(" ",$D$2),$D$2)</f>
        <v xml:space="preserve">Forget Me Not              </v>
      </c>
      <c r="E26" s="3" t="s">
        <v>0</v>
      </c>
      <c r="F26" t="str">
        <f>" "&amp;LEFTB(Sheet1!C23&amp;REPT(" ",$F$2),$F$2)</f>
        <v xml:space="preserve"> Mralanna Evans, Amber Navran, Eric Gabouer, Ciarán McDonald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>Rapsody feat. Phylicia Rashad, Amber Navran</v>
      </c>
      <c r="I26" s="3" t="s">
        <v>0</v>
      </c>
      <c r="J26" s="2" t="str">
        <f>TEXT(Sheet1!E23,"HH:MM")&amp;" "</f>
        <v xml:space="preserve">04:34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9DB3-5614-4EFD-9990-CA82609EC7A2}">
  <dimension ref="A1:E23"/>
  <sheetViews>
    <sheetView workbookViewId="0">
      <selection sqref="A1:XFD1048576"/>
    </sheetView>
  </sheetViews>
  <sheetFormatPr defaultRowHeight="19.8"/>
  <cols>
    <col min="1" max="1" width="10.81640625" bestFit="1" customWidth="1"/>
    <col min="2" max="2" width="24.54296875" bestFit="1" customWidth="1"/>
    <col min="3" max="3" width="80.7265625" bestFit="1" customWidth="1"/>
    <col min="4" max="4" width="41.90625" bestFit="1" customWidth="1"/>
    <col min="5" max="5" width="7.542968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4.7222222222222221E-2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0.10625</v>
      </c>
    </row>
    <row r="4" spans="1:5">
      <c r="A4">
        <v>3</v>
      </c>
      <c r="B4" s="6" t="s">
        <v>14</v>
      </c>
      <c r="C4" s="6" t="s">
        <v>15</v>
      </c>
      <c r="D4" s="6" t="s">
        <v>16</v>
      </c>
      <c r="E4" s="5">
        <v>0.1076388888888889</v>
      </c>
    </row>
    <row r="5" spans="1:5">
      <c r="A5">
        <v>4</v>
      </c>
      <c r="B5" s="6" t="s">
        <v>17</v>
      </c>
      <c r="C5" s="6" t="s">
        <v>18</v>
      </c>
      <c r="D5" s="6" t="s">
        <v>13</v>
      </c>
      <c r="E5" s="5">
        <v>0.18055555555555555</v>
      </c>
    </row>
    <row r="6" spans="1:5">
      <c r="A6">
        <v>5</v>
      </c>
      <c r="B6" s="6" t="s">
        <v>19</v>
      </c>
      <c r="C6" s="6" t="s">
        <v>20</v>
      </c>
      <c r="D6" s="6" t="s">
        <v>21</v>
      </c>
      <c r="E6" s="5">
        <v>0.1076388888888889</v>
      </c>
    </row>
    <row r="7" spans="1:5">
      <c r="A7">
        <v>6</v>
      </c>
      <c r="B7" s="6" t="s">
        <v>22</v>
      </c>
      <c r="C7" s="6" t="s">
        <v>23</v>
      </c>
      <c r="D7" s="6" t="s">
        <v>24</v>
      </c>
      <c r="E7" s="5">
        <v>0.11041666666666666</v>
      </c>
    </row>
    <row r="8" spans="1:5">
      <c r="A8">
        <v>7</v>
      </c>
      <c r="B8" s="6" t="s">
        <v>25</v>
      </c>
      <c r="C8" s="6" t="s">
        <v>26</v>
      </c>
      <c r="D8" s="6" t="s">
        <v>13</v>
      </c>
      <c r="E8" s="5">
        <v>8.9583333333333334E-2</v>
      </c>
    </row>
    <row r="9" spans="1:5">
      <c r="A9">
        <v>8</v>
      </c>
      <c r="B9" s="6" t="s">
        <v>27</v>
      </c>
      <c r="C9" s="6" t="s">
        <v>28</v>
      </c>
      <c r="D9" s="6" t="s">
        <v>13</v>
      </c>
      <c r="E9" s="5">
        <v>0.13402777777777777</v>
      </c>
    </row>
    <row r="10" spans="1:5">
      <c r="A10">
        <v>9</v>
      </c>
      <c r="B10" s="6" t="s">
        <v>29</v>
      </c>
      <c r="C10" s="6" t="s">
        <v>30</v>
      </c>
      <c r="D10" s="6" t="s">
        <v>31</v>
      </c>
      <c r="E10" s="5">
        <v>0.14791666666666667</v>
      </c>
    </row>
    <row r="11" spans="1:5">
      <c r="A11">
        <v>10</v>
      </c>
      <c r="B11" s="6" t="s">
        <v>32</v>
      </c>
      <c r="C11" s="6" t="s">
        <v>33</v>
      </c>
      <c r="D11" s="6" t="s">
        <v>34</v>
      </c>
      <c r="E11" s="5">
        <v>0.1673611111111111</v>
      </c>
    </row>
    <row r="12" spans="1:5">
      <c r="A12">
        <v>11</v>
      </c>
      <c r="B12" s="6" t="s">
        <v>35</v>
      </c>
      <c r="C12" s="6" t="s">
        <v>36</v>
      </c>
      <c r="D12" s="6" t="s">
        <v>37</v>
      </c>
      <c r="E12" s="5">
        <v>0.14097222222222222</v>
      </c>
    </row>
    <row r="13" spans="1:5">
      <c r="A13">
        <v>12</v>
      </c>
      <c r="B13" s="6" t="s">
        <v>38</v>
      </c>
      <c r="C13" s="6" t="s">
        <v>39</v>
      </c>
      <c r="D13" s="6" t="s">
        <v>40</v>
      </c>
      <c r="E13" s="5">
        <v>0.15972222222222221</v>
      </c>
    </row>
    <row r="14" spans="1:5">
      <c r="A14">
        <v>13</v>
      </c>
      <c r="B14" s="6" t="s">
        <v>41</v>
      </c>
      <c r="C14" s="6" t="s">
        <v>42</v>
      </c>
      <c r="D14" s="6" t="s">
        <v>13</v>
      </c>
      <c r="E14" s="5">
        <v>0.13125000000000001</v>
      </c>
    </row>
    <row r="15" spans="1:5">
      <c r="A15">
        <v>14</v>
      </c>
      <c r="B15" s="6" t="s">
        <v>43</v>
      </c>
      <c r="C15" s="6" t="s">
        <v>44</v>
      </c>
      <c r="D15" s="6" t="s">
        <v>13</v>
      </c>
      <c r="E15" s="5">
        <v>0.11041666666666666</v>
      </c>
    </row>
    <row r="16" spans="1:5">
      <c r="A16">
        <v>15</v>
      </c>
      <c r="B16" s="6" t="s">
        <v>45</v>
      </c>
      <c r="C16" s="6" t="s">
        <v>46</v>
      </c>
      <c r="D16" s="6" t="s">
        <v>13</v>
      </c>
      <c r="E16" s="5">
        <v>0.12569444444444444</v>
      </c>
    </row>
    <row r="17" spans="1:5">
      <c r="A17">
        <v>16</v>
      </c>
      <c r="B17" s="6" t="s">
        <v>47</v>
      </c>
      <c r="C17" s="6" t="s">
        <v>48</v>
      </c>
      <c r="D17" s="6" t="s">
        <v>49</v>
      </c>
      <c r="E17" s="5">
        <v>4.4444444444444446E-2</v>
      </c>
    </row>
    <row r="18" spans="1:5">
      <c r="A18">
        <v>17</v>
      </c>
      <c r="B18" s="6" t="s">
        <v>50</v>
      </c>
      <c r="C18" s="6" t="s">
        <v>51</v>
      </c>
      <c r="D18" s="6" t="s">
        <v>52</v>
      </c>
      <c r="E18" s="5">
        <v>0.11388888888888889</v>
      </c>
    </row>
    <row r="19" spans="1:5">
      <c r="A19">
        <v>18</v>
      </c>
      <c r="B19" s="6" t="s">
        <v>53</v>
      </c>
      <c r="C19" s="6" t="s">
        <v>54</v>
      </c>
      <c r="D19" s="6" t="s">
        <v>13</v>
      </c>
      <c r="E19" s="5">
        <v>7.0833333333333331E-2</v>
      </c>
    </row>
    <row r="20" spans="1:5">
      <c r="A20">
        <v>19</v>
      </c>
      <c r="B20" s="6" t="s">
        <v>55</v>
      </c>
      <c r="C20" s="6" t="s">
        <v>56</v>
      </c>
      <c r="D20" s="6" t="s">
        <v>57</v>
      </c>
      <c r="E20" s="5">
        <v>0.18194444444444444</v>
      </c>
    </row>
    <row r="21" spans="1:5">
      <c r="A21">
        <v>20</v>
      </c>
      <c r="B21" s="6" t="s">
        <v>58</v>
      </c>
      <c r="C21" s="6" t="s">
        <v>59</v>
      </c>
      <c r="D21" s="6" t="s">
        <v>10</v>
      </c>
      <c r="E21" s="5">
        <v>8.4027777777777785E-2</v>
      </c>
    </row>
    <row r="22" spans="1:5">
      <c r="A22">
        <v>21</v>
      </c>
      <c r="B22" s="6" t="s">
        <v>60</v>
      </c>
      <c r="C22" s="6" t="s">
        <v>61</v>
      </c>
      <c r="D22" s="6" t="s">
        <v>13</v>
      </c>
      <c r="E22" s="5">
        <v>0.14930555555555555</v>
      </c>
    </row>
    <row r="23" spans="1:5">
      <c r="A23">
        <v>22</v>
      </c>
      <c r="B23" s="6" t="s">
        <v>62</v>
      </c>
      <c r="C23" s="6" t="s">
        <v>63</v>
      </c>
      <c r="D23" s="6" t="s">
        <v>64</v>
      </c>
      <c r="E23" s="5">
        <v>0.19027777777777777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94126-AC84-4ABD-8811-6653F7486394}">
  <dimension ref="B2:E14"/>
  <sheetViews>
    <sheetView workbookViewId="0"/>
  </sheetViews>
  <sheetFormatPr defaultRowHeight="19.8"/>
  <cols>
    <col min="1" max="1" width="6.1796875" bestFit="1" customWidth="1"/>
    <col min="2" max="2" width="23.453125" bestFit="1" customWidth="1"/>
    <col min="3" max="3" width="37.7265625" bestFit="1" customWidth="1"/>
    <col min="4" max="4" width="12.1796875" bestFit="1" customWidth="1"/>
    <col min="5" max="5" width="7.542968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F7BB-8118-4B05-86C6-5011E8B575A6}">
  <dimension ref="E2:E13"/>
  <sheetViews>
    <sheetView workbookViewId="0">
      <selection activeCell="B8" sqref="B8"/>
    </sheetView>
  </sheetViews>
  <sheetFormatPr defaultRowHeight="19.8"/>
  <cols>
    <col min="1" max="1" width="6.1796875" bestFit="1" customWidth="1"/>
    <col min="2" max="2" width="17.6328125" bestFit="1" customWidth="1"/>
    <col min="3" max="3" width="52.54296875" bestFit="1" customWidth="1"/>
    <col min="4" max="4" width="58.08984375" bestFit="1" customWidth="1"/>
    <col min="5" max="5" width="7.5429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(53)</vt:lpstr>
      <vt:lpstr>テーブル 5 (51)</vt:lpstr>
      <vt:lpstr>テーブル 5 (33)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2025-04-19T06:17:04Z</dcterms:modified>
</cp:coreProperties>
</file>