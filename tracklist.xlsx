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AFB6950B-4E74-40F0-89E6-39238E7B649C}" xr6:coauthVersionLast="47" xr6:coauthVersionMax="47" xr10:uidLastSave="{00000000-0000-0000-0000-000000000000}"/>
  <bookViews>
    <workbookView xWindow="11868" yWindow="2064" windowWidth="29460" windowHeight="16824" activeTab="1" xr2:uid="{00000000-000D-0000-FFFF-FFFF00000000}"/>
  </bookViews>
  <sheets>
    <sheet name="Sheet1" sheetId="1" r:id="rId1"/>
    <sheet name="Sheet2" sheetId="2" r:id="rId2"/>
    <sheet name="テーブル 5 (45)" sheetId="62" r:id="rId3"/>
    <sheet name="テーブル 5 (43)" sheetId="61" r:id="rId4"/>
    <sheet name="テーブル 5 (33)" sheetId="56" r:id="rId5"/>
  </sheets>
  <definedNames>
    <definedName name="ExternalData_1" localSheetId="2" hidden="1">'テーブル 5 (45)'!$A$1:$E$15</definedName>
    <definedName name="ExternalData_2" localSheetId="0" hidden="1">Sheet1!$A$1:$E$15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1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22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23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24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<sst xmlns="http://schemas.openxmlformats.org/spreadsheetml/2006/main" count="264" uniqueCount="38">
  <si>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</si>
  <si>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</si>
  <si>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</si>
  <si>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</si>
  <si>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</si>
  <si>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</si>
  <si>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</si>
  <si>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No.</t>
  </si>
  <si>
    <t>Superpowers</t>
  </si>
  <si>
    <t>Brian McKnight / Ben Parris / Priscilla Renea / Christopher Stewart</t>
  </si>
  <si>
    <t>Muni Long</t>
  </si>
  <si>
    <t>Made for Me</t>
  </si>
  <si>
    <t>Bryan-Michael Cox / Jermaine Dupri / Priscilla Renea / Jordan XL</t>
  </si>
  <si>
    <t>Make Me Forget</t>
  </si>
  <si>
    <t>Michael Archer / Jariuce Banks / Christian Mombru / Priscilla Renea / Raphael Saadiq / Christopher Stewart</t>
  </si>
  <si>
    <t>30s</t>
  </si>
  <si>
    <t>Bibio / Jordan Mosley / Justin Mosley / Priscilla Renea</t>
  </si>
  <si>
    <t>Revenge</t>
  </si>
  <si>
    <t>Terius "The-Dream" Gesteelde-Diamant / Sergio Van Gonter / Ben Parris / Priscilla Renea / Christopher Stewart / Theron Thomas</t>
  </si>
  <si>
    <t>Reverse (Interlude)</t>
  </si>
  <si>
    <t>Paul Beauregard / Michael Crabtree / Eliot Dubock / Nick Foster / Derrick Hill / Jordan Houston / Evan Ingersoll / Priscilla Renea / Mikey Rocks / Cedric Woosley</t>
  </si>
  <si>
    <t>Bessie</t>
  </si>
  <si>
    <t>Priscilla Renea / Sean Spencer / Sam Sumser / Theron Thomas</t>
  </si>
  <si>
    <t>Played Yourself</t>
  </si>
  <si>
    <t>Andrew Hitt / Jake Krumm / Jared Krumm / Ben Parris / Priscilla Renea / Christopher Stewart / Theron Thomas</t>
  </si>
  <si>
    <t>Leave My Baby Tonight</t>
  </si>
  <si>
    <t>Sean Combs / Terry Dene / Clarence Redd Iii / Terrance Kelly / Tim Kelly / Ryan Alex Martinez / Stephayne Maxwell / Joshua Parker / Priscilla Renea / Bob Robinson / Gloria Woods</t>
  </si>
  <si>
    <t>Muni Long feat: GloRilla</t>
  </si>
  <si>
    <t>Things I Never Said</t>
  </si>
  <si>
    <t>Darian Garcia / Thomas Lumpkins / Priscilla Renea / Itai Shapira</t>
  </si>
  <si>
    <t>Type Questions</t>
  </si>
  <si>
    <t>Jeff Gitelman / Jacob Kasher / Priscilla Renea / Kevin Theodore</t>
  </si>
  <si>
    <t>The Baddest</t>
  </si>
  <si>
    <t>Diamonte Harper / Joelle James / Priscilla Renea</t>
  </si>
  <si>
    <t>Waste No Time</t>
  </si>
  <si>
    <t>Tommy Brown / Priscilla Renea / Josh Thomas / Yonatan Watts</t>
  </si>
  <si>
    <t>Ruined Me</t>
  </si>
  <si>
    <t>Jeff Gitelman / Priscilla Renea / Kevin Theodore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</si>
</sst>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9" xr16:uid="{D97403F3-F297-4EC4-A110-0B7F37D8B8DD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8" xr16:uid="{34D360F7-27C3-4FA0-8EDF-42826E5874C1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7D1751-6CD0-47EB-B0CD-DB419214E9AE}" name="テーブル_5__453" displayName="テーブル_5__453" ref="A1:E15" tableType="queryTable" totalsRowShown="0">
  <autoFilter ref="A1:E15" xr:uid="{FE7D1751-6CD0-47EB-B0CD-DB419214E9AE}"/>
  <tableColumns count="5">
    <tableColumn id="1" xr3:uid="{626AAEBF-8A52-4F6F-8C09-812600E4926A}" uniqueName="1" name="No." queryTableFieldId="1"/>
    <tableColumn id="2" xr3:uid="{AE2DAC32-2418-4BC3-BD91-23E21A03C911}" uniqueName="2" name="Title" queryTableFieldId="2" dataDxfId="3"/>
    <tableColumn id="3" xr3:uid="{A42D61BE-9794-4244-8991-654543848EE5}" uniqueName="3" name="Composer" queryTableFieldId="3" dataDxfId="2"/>
    <tableColumn id="4" xr3:uid="{89E715F2-99E9-4400-AA0F-09040CE34915}" uniqueName="4" name="Performer" queryTableFieldId="4" dataDxfId="1"/>
    <tableColumn id="5" xr3:uid="{B5A2061E-A837-415A-A9CC-F5337F8E4133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9FDD8F-7D21-4689-B49E-2DC104523FCB}" name="テーブル_5__45" displayName="テーブル_5__45" ref="A1:E15" tableType="queryTable" totalsRowShown="0">
  <autoFilter ref="A1:E15" xr:uid="{F79FDD8F-7D21-4689-B49E-2DC104523FCB}"/>
  <tableColumns count="5">
    <tableColumn id="1" xr3:uid="{332A1B5C-6885-4874-9494-3100858F4708}" uniqueName="1" name="No." queryTableFieldId="1"/>
    <tableColumn id="2" xr3:uid="{DB0CEB40-B626-4B45-98A5-19D6D09CA2EC}" uniqueName="2" name="Title" queryTableFieldId="2" dataDxfId="7"/>
    <tableColumn id="3" xr3:uid="{5C6D692D-F6D3-4DA0-AD41-94DDF8F29B6C}" uniqueName="3" name="Composer" queryTableFieldId="3" dataDxfId="6"/>
    <tableColumn id="4" xr3:uid="{BF770E20-2623-466C-81E6-5EE799C3F887}" uniqueName="4" name="Performer" queryTableFieldId="4" dataDxfId="5"/>
    <tableColumn id="5" xr3:uid="{D7A6810A-EF42-4310-93F5-71449852A32B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sqref="A1:XFD1048576"/>
    </sheetView>
  </sheetViews>
  <sheetFormatPr defaultRowHeight="19.8"/>
  <cols>
    <col min="1" max="1" width="6.1796875" bestFit="1" customWidth="1"/>
    <col min="2" max="2" width="22.08984375" bestFit="1" customWidth="1"/>
    <col min="3" max="3" width="80.7265625" bestFit="1" customWidth="1"/>
    <col min="4" max="4" width="22.4531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0.15138888888888888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0.13055555555555556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0.16527777777777777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0.10555555555555556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0.17708333333333334</v>
      </c>
    </row>
    <row r="7" spans="1:5">
      <c r="A7">
        <v>6</v>
      </c>
      <c r="B7" s="6" t="s">
        <v>19</v>
      </c>
      <c r="C7" s="6" t="s">
        <v>20</v>
      </c>
      <c r="D7" s="6" t="s">
        <v>10</v>
      </c>
      <c r="E7" s="5">
        <v>5.4166666666666669E-2</v>
      </c>
    </row>
    <row r="8" spans="1:5">
      <c r="A8">
        <v>7</v>
      </c>
      <c r="B8" s="6" t="s">
        <v>21</v>
      </c>
      <c r="C8" s="6" t="s">
        <v>22</v>
      </c>
      <c r="D8" s="6" t="s">
        <v>10</v>
      </c>
      <c r="E8" s="5">
        <v>0.11319444444444444</v>
      </c>
    </row>
    <row r="9" spans="1:5">
      <c r="A9">
        <v>8</v>
      </c>
      <c r="B9" s="6" t="s">
        <v>23</v>
      </c>
      <c r="C9" s="6" t="s">
        <v>24</v>
      </c>
      <c r="D9" s="6" t="s">
        <v>10</v>
      </c>
      <c r="E9" s="5">
        <v>0.11527777777777778</v>
      </c>
    </row>
    <row r="10" spans="1:5">
      <c r="A10">
        <v>9</v>
      </c>
      <c r="B10" s="6" t="s">
        <v>25</v>
      </c>
      <c r="C10" s="6" t="s">
        <v>26</v>
      </c>
      <c r="D10" s="6" t="s">
        <v>27</v>
      </c>
      <c r="E10" s="5">
        <v>0.1361111111111111</v>
      </c>
    </row>
    <row r="11" spans="1:5">
      <c r="A11">
        <v>10</v>
      </c>
      <c r="B11" s="6" t="s">
        <v>28</v>
      </c>
      <c r="C11" s="6" t="s">
        <v>29</v>
      </c>
      <c r="D11" s="6" t="s">
        <v>10</v>
      </c>
      <c r="E11" s="5">
        <v>0.11736111111111111</v>
      </c>
    </row>
    <row r="12" spans="1:5">
      <c r="A12">
        <v>11</v>
      </c>
      <c r="B12" s="6" t="s">
        <v>30</v>
      </c>
      <c r="C12" s="6" t="s">
        <v>31</v>
      </c>
      <c r="D12" s="6" t="s">
        <v>10</v>
      </c>
      <c r="E12" s="5">
        <v>0.10972222222222222</v>
      </c>
    </row>
    <row r="13" spans="1:5">
      <c r="A13">
        <v>12</v>
      </c>
      <c r="B13" s="6" t="s">
        <v>32</v>
      </c>
      <c r="C13" s="6" t="s">
        <v>33</v>
      </c>
      <c r="D13" s="6" t="s">
        <v>10</v>
      </c>
      <c r="E13" s="5">
        <v>0.15208333333333332</v>
      </c>
    </row>
    <row r="14" spans="1:5">
      <c r="A14">
        <v>13</v>
      </c>
      <c r="B14" s="6" t="s">
        <v>34</v>
      </c>
      <c r="C14" s="6" t="s">
        <v>35</v>
      </c>
      <c r="D14" s="6" t="s">
        <v>10</v>
      </c>
      <c r="E14" s="5">
        <v>0.12013888888888889</v>
      </c>
    </row>
    <row r="15" spans="1:5">
      <c r="A15">
        <v>14</v>
      </c>
      <c r="B15" s="6" t="s">
        <v>36</v>
      </c>
      <c r="C15" s="6" t="s">
        <v>37</v>
      </c>
      <c r="D15" s="6" t="s">
        <v>10</v>
      </c>
      <c r="E15" s="5">
        <v>0.1361111111111111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E1" workbookViewId="0">
      <selection activeCell="A18" sqref="A3:K18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21</v>
      </c>
      <c r="F2" s="1">
        <f t="array" ref="F2">MAX(LENB(Sheet1!C1:'Sheet1'!C30))</f>
        <v>177</v>
      </c>
      <c r="H2" s="1">
        <f t="array" ref="H2">MAX(LENB(Sheet1!D1:'Sheet1'!D30))</f>
        <v>24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Superpowers          </v>
      </c>
      <c r="E5" s="3" t="s">
        <v>0</v>
      </c>
      <c r="F5" t="str">
        <f>" "&amp;LEFTB(Sheet1!C2&amp;REPT(" ",$F$2),$F$2)</f>
        <v xml:space="preserve"> Brian McKnight / Ben Parris / Priscilla Renea / Christopher Stewart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Muni Long               </v>
      </c>
      <c r="I5" s="3" t="s">
        <v>0</v>
      </c>
      <c r="J5" s="2" t="str">
        <f>TEXT(Sheet1!E2,"HH:MM")&amp;" "</f>
        <v xml:space="preserve">03:38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Made for Me          </v>
      </c>
      <c r="E6" s="3" t="s">
        <v>0</v>
      </c>
      <c r="F6" t="str">
        <f>" "&amp;LEFTB(Sheet1!C3&amp;REPT(" ",$F$2),$F$2)</f>
        <v xml:space="preserve"> Bryan-Michael Cox / Jermaine Dupri / Priscilla Renea / Jordan XL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Muni Long               </v>
      </c>
      <c r="I6" s="3" t="s">
        <v>0</v>
      </c>
      <c r="J6" s="2" t="str">
        <f>TEXT(Sheet1!E3,"HH:MM")&amp;" "</f>
        <v xml:space="preserve">03:08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Make Me Forget       </v>
      </c>
      <c r="E7" s="3" t="s">
        <v>0</v>
      </c>
      <c r="F7" t="str">
        <f>" "&amp;LEFTB(Sheet1!C4&amp;REPT(" ",$F$2),$F$2)</f>
        <v xml:space="preserve"> Michael Archer / Jariuce Banks / Christian Mombru / Priscilla Renea / Raphael Saadiq / Christopher Stewart                                                                       </v>
      </c>
      <c r="G7" s="3" t="s">
        <v>0</v>
      </c>
      <c r="H7" t="str">
        <f>LEFTB(Sheet1!D4&amp;REPT(" ",$H$2),$H$2)</f>
        <v xml:space="preserve">Muni Long               </v>
      </c>
      <c r="I7" s="3" t="s">
        <v>0</v>
      </c>
      <c r="J7" s="2" t="str">
        <f>TEXT(Sheet1!E4,"HH:MM")&amp;" "</f>
        <v xml:space="preserve">03:58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30s                  </v>
      </c>
      <c r="E8" s="3" t="s">
        <v>0</v>
      </c>
      <c r="F8" t="str">
        <f>" "&amp;LEFTB(Sheet1!C5&amp;REPT(" ",$F$2),$F$2)</f>
        <v xml:space="preserve"> Bibio / Jordan Mosley / Justin Mosley / Priscilla Renea                                                                                                                          </v>
      </c>
      <c r="G8" s="3" t="s">
        <v>0</v>
      </c>
      <c r="H8" t="str">
        <f>LEFTB(Sheet1!D5&amp;REPT(" ",$H$2),$H$2)</f>
        <v xml:space="preserve">Muni Long               </v>
      </c>
      <c r="I8" s="3" t="s">
        <v>0</v>
      </c>
      <c r="J8" s="2" t="str">
        <f>TEXT(Sheet1!E5,"HH:MM")&amp;" "</f>
        <v xml:space="preserve">02:32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Revenge              </v>
      </c>
      <c r="E9" s="3" t="s">
        <v>0</v>
      </c>
      <c r="F9" t="str">
        <f>" "&amp;LEFTB(Sheet1!C6&amp;REPT(" ",$F$2),$F$2)</f>
        <v xml:space="preserve"> Terius "The-Dream" Gesteelde-Diamant / Sergio Van Gonter / Ben Parris / Priscilla Renea / Christopher Stewart / Theron Thomas                                                    </v>
      </c>
      <c r="G9" s="3" t="s">
        <v>0</v>
      </c>
      <c r="H9" t="str">
        <f>LEFTB(Sheet1!D6&amp;REPT(" ",$H$2),$H$2)</f>
        <v xml:space="preserve">Muni Long               </v>
      </c>
      <c r="I9" s="3" t="s">
        <v>0</v>
      </c>
      <c r="J9" s="2" t="str">
        <f>TEXT(Sheet1!E6,"HH:MM")&amp;" "</f>
        <v xml:space="preserve">04:15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Reverse (Interlude)  </v>
      </c>
      <c r="E10" s="3" t="s">
        <v>0</v>
      </c>
      <c r="F10" t="str">
        <f>" "&amp;LEFTB(Sheet1!C7&amp;REPT(" ",$F$2),$F$2)</f>
        <v xml:space="preserve"> Paul Beauregard / Michael Crabtree / Eliot Dubock / Nick Foster / Derrick Hill / Jordan Houston / Evan Ingersoll / Priscilla Renea / Mikey Rocks / Cedric Woosley                </v>
      </c>
      <c r="G10" s="3" t="s">
        <v>0</v>
      </c>
      <c r="H10" t="str">
        <f>LEFTB(Sheet1!D7&amp;REPT(" ",$H$2),$H$2)</f>
        <v xml:space="preserve">Muni Long               </v>
      </c>
      <c r="I10" s="3" t="s">
        <v>0</v>
      </c>
      <c r="J10" s="2" t="str">
        <f>TEXT(Sheet1!E7,"HH:MM")&amp;" "</f>
        <v xml:space="preserve">01:18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Bessie               </v>
      </c>
      <c r="E11" s="3" t="s">
        <v>0</v>
      </c>
      <c r="F11" t="str">
        <f>" "&amp;LEFTB(Sheet1!C8&amp;REPT(" ",$F$2),$F$2)</f>
        <v xml:space="preserve"> Priscilla Renea / Sean Spencer / Sam Sumser / Theron Thomas            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Muni Long               </v>
      </c>
      <c r="I11" s="3" t="s">
        <v>0</v>
      </c>
      <c r="J11" s="2" t="str">
        <f>TEXT(Sheet1!E8,"HH:MM")&amp;" "</f>
        <v xml:space="preserve">02:43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Played Yourself      </v>
      </c>
      <c r="E12" s="3" t="s">
        <v>0</v>
      </c>
      <c r="F12" t="str">
        <f>" "&amp;LEFTB(Sheet1!C9&amp;REPT(" ",$F$2),$F$2)</f>
        <v xml:space="preserve"> Andrew Hitt / Jake Krumm / Jared Krumm / Ben Parris / Priscilla Renea / Christopher Stewart / Theron Thomas                                                                      </v>
      </c>
      <c r="G12" s="3" t="s">
        <v>0</v>
      </c>
      <c r="H12" t="str">
        <f>LEFTB(Sheet1!D9&amp;REPT(" ",$H$2),$H$2)</f>
        <v xml:space="preserve">Muni Long               </v>
      </c>
      <c r="I12" s="3" t="s">
        <v>0</v>
      </c>
      <c r="J12" s="2" t="str">
        <f>TEXT(Sheet1!E9,"HH:MM")&amp;" "</f>
        <v xml:space="preserve">02:46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>Leave My Baby Tonight</v>
      </c>
      <c r="E13" s="3" t="s">
        <v>0</v>
      </c>
      <c r="F13" t="str">
        <f>" "&amp;LEFTB(Sheet1!C10&amp;REPT(" ",$F$2),$F$2)</f>
        <v xml:space="preserve"> Sean Combs / Terry Dene / Clarence Redd Iii / Terrance Kelly / Tim Kelly / Ryan Alex Martinez / Stephayne Maxwell / Joshua Parker / Priscilla Renea / Bob Robinson / Gloria Woods</v>
      </c>
      <c r="G13" s="3" t="s">
        <v>0</v>
      </c>
      <c r="H13" t="str">
        <f>LEFTB(Sheet1!D10&amp;REPT(" ",$H$2),$H$2)</f>
        <v>Muni Long feat: GloRilla</v>
      </c>
      <c r="I13" s="3" t="s">
        <v>0</v>
      </c>
      <c r="J13" s="2" t="str">
        <f>TEXT(Sheet1!E10,"HH:MM")&amp;" "</f>
        <v xml:space="preserve">03:16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Things I Never Said  </v>
      </c>
      <c r="E14" s="3" t="s">
        <v>0</v>
      </c>
      <c r="F14" t="str">
        <f>" "&amp;LEFTB(Sheet1!C11&amp;REPT(" ",$F$2),$F$2)</f>
        <v xml:space="preserve"> Darian Garcia / Thomas Lumpkins / Priscilla Renea / Itai Shapira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Muni Long               </v>
      </c>
      <c r="I14" s="3" t="s">
        <v>0</v>
      </c>
      <c r="J14" s="2" t="str">
        <f>TEXT(Sheet1!E11,"HH:MM")&amp;" "</f>
        <v xml:space="preserve">02:49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Type Questions       </v>
      </c>
      <c r="E15" s="3" t="s">
        <v>0</v>
      </c>
      <c r="F15" t="str">
        <f>" "&amp;LEFTB(Sheet1!C12&amp;REPT(" ",$F$2),$F$2)</f>
        <v xml:space="preserve"> Jeff Gitelman / Jacob Kasher / Priscilla Renea / Kevin Theodore                                                                                                                  </v>
      </c>
      <c r="G15" s="3" t="s">
        <v>0</v>
      </c>
      <c r="H15" t="str">
        <f>LEFTB(Sheet1!D12&amp;REPT(" ",$H$2),$H$2)</f>
        <v xml:space="preserve">Muni Long               </v>
      </c>
      <c r="I15" s="3" t="s">
        <v>0</v>
      </c>
      <c r="J15" s="2" t="str">
        <f>TEXT(Sheet1!E12,"HH:MM")&amp;" "</f>
        <v xml:space="preserve">02:38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The Baddest          </v>
      </c>
      <c r="E16" s="3" t="s">
        <v>0</v>
      </c>
      <c r="F16" t="str">
        <f>" "&amp;LEFTB(Sheet1!C13&amp;REPT(" ",$F$2),$F$2)</f>
        <v xml:space="preserve"> Diamonte Harper / Joelle James / Priscilla Renea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Muni Long               </v>
      </c>
      <c r="I16" s="3" t="s">
        <v>0</v>
      </c>
      <c r="J16" s="2" t="str">
        <f>TEXT(Sheet1!E13,"HH:MM")&amp;" "</f>
        <v xml:space="preserve">03:39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Waste No Time        </v>
      </c>
      <c r="E17" s="3" t="s">
        <v>0</v>
      </c>
      <c r="F17" t="str">
        <f>" "&amp;LEFTB(Sheet1!C14&amp;REPT(" ",$F$2),$F$2)</f>
        <v xml:space="preserve"> Tommy Brown / Priscilla Renea / Josh Thomas / Yonatan Watts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Muni Long               </v>
      </c>
      <c r="I17" s="3" t="s">
        <v>0</v>
      </c>
      <c r="J17" s="2" t="str">
        <f>TEXT(Sheet1!E14,"HH:MM")&amp;" "</f>
        <v xml:space="preserve">02:53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Ruined Me            </v>
      </c>
      <c r="E18" s="3" t="s">
        <v>0</v>
      </c>
      <c r="F18" t="str">
        <f>" "&amp;LEFTB(Sheet1!C15&amp;REPT(" ",$F$2),$F$2)</f>
        <v xml:space="preserve"> Jeff Gitelman / Priscilla Renea / Kevin Theodore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Muni Long               </v>
      </c>
      <c r="I18" s="3" t="s">
        <v>0</v>
      </c>
      <c r="J18" s="2" t="str">
        <f>TEXT(Sheet1!E15,"HH:MM")&amp;" "</f>
        <v xml:space="preserve">03:16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86FD-34F9-449F-865B-AB7748D91A1C}">
  <dimension ref="A1:E15"/>
  <sheetViews>
    <sheetView workbookViewId="0">
      <selection sqref="A1:XFD1048576"/>
    </sheetView>
  </sheetViews>
  <sheetFormatPr defaultRowHeight="19.8"/>
  <cols>
    <col min="1" max="1" width="6.1796875" bestFit="1" customWidth="1"/>
    <col min="2" max="2" width="22.08984375" bestFit="1" customWidth="1"/>
    <col min="3" max="3" width="80.7265625" bestFit="1" customWidth="1"/>
    <col min="4" max="4" width="22.4531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0.15138888888888888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0.13055555555555556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0.16527777777777777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0.10555555555555556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0.17708333333333334</v>
      </c>
    </row>
    <row r="7" spans="1:5">
      <c r="A7">
        <v>6</v>
      </c>
      <c r="B7" s="6" t="s">
        <v>19</v>
      </c>
      <c r="C7" s="6" t="s">
        <v>20</v>
      </c>
      <c r="D7" s="6" t="s">
        <v>10</v>
      </c>
      <c r="E7" s="5">
        <v>5.4166666666666669E-2</v>
      </c>
    </row>
    <row r="8" spans="1:5">
      <c r="A8">
        <v>7</v>
      </c>
      <c r="B8" s="6" t="s">
        <v>21</v>
      </c>
      <c r="C8" s="6" t="s">
        <v>22</v>
      </c>
      <c r="D8" s="6" t="s">
        <v>10</v>
      </c>
      <c r="E8" s="5">
        <v>0.11319444444444444</v>
      </c>
    </row>
    <row r="9" spans="1:5">
      <c r="A9">
        <v>8</v>
      </c>
      <c r="B9" s="6" t="s">
        <v>23</v>
      </c>
      <c r="C9" s="6" t="s">
        <v>24</v>
      </c>
      <c r="D9" s="6" t="s">
        <v>10</v>
      </c>
      <c r="E9" s="5">
        <v>0.11527777777777778</v>
      </c>
    </row>
    <row r="10" spans="1:5">
      <c r="A10">
        <v>9</v>
      </c>
      <c r="B10" s="6" t="s">
        <v>25</v>
      </c>
      <c r="C10" s="6" t="s">
        <v>26</v>
      </c>
      <c r="D10" s="6" t="s">
        <v>27</v>
      </c>
      <c r="E10" s="5">
        <v>0.1361111111111111</v>
      </c>
    </row>
    <row r="11" spans="1:5">
      <c r="A11">
        <v>10</v>
      </c>
      <c r="B11" s="6" t="s">
        <v>28</v>
      </c>
      <c r="C11" s="6" t="s">
        <v>29</v>
      </c>
      <c r="D11" s="6" t="s">
        <v>10</v>
      </c>
      <c r="E11" s="5">
        <v>0.11736111111111111</v>
      </c>
    </row>
    <row r="12" spans="1:5">
      <c r="A12">
        <v>11</v>
      </c>
      <c r="B12" s="6" t="s">
        <v>30</v>
      </c>
      <c r="C12" s="6" t="s">
        <v>31</v>
      </c>
      <c r="D12" s="6" t="s">
        <v>10</v>
      </c>
      <c r="E12" s="5">
        <v>0.10972222222222222</v>
      </c>
    </row>
    <row r="13" spans="1:5">
      <c r="A13">
        <v>12</v>
      </c>
      <c r="B13" s="6" t="s">
        <v>32</v>
      </c>
      <c r="C13" s="6" t="s">
        <v>33</v>
      </c>
      <c r="D13" s="6" t="s">
        <v>10</v>
      </c>
      <c r="E13" s="5">
        <v>0.15208333333333332</v>
      </c>
    </row>
    <row r="14" spans="1:5">
      <c r="A14">
        <v>13</v>
      </c>
      <c r="B14" s="6" t="s">
        <v>34</v>
      </c>
      <c r="C14" s="6" t="s">
        <v>35</v>
      </c>
      <c r="D14" s="6" t="s">
        <v>10</v>
      </c>
      <c r="E14" s="5">
        <v>0.12013888888888889</v>
      </c>
    </row>
    <row r="15" spans="1:5">
      <c r="A15">
        <v>14</v>
      </c>
      <c r="B15" s="6" t="s">
        <v>36</v>
      </c>
      <c r="C15" s="6" t="s">
        <v>37</v>
      </c>
      <c r="D15" s="6" t="s">
        <v>10</v>
      </c>
      <c r="E15" s="5">
        <v>0.1361111111111111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7775-41CC-46B9-8C6A-0D175871FE5A}">
  <dimension ref="E2:E17"/>
  <sheetViews>
    <sheetView workbookViewId="0"/>
  </sheetViews>
  <sheetFormatPr defaultRowHeight="19.8"/>
  <cols>
    <col min="1" max="1" width="6.1796875" bestFit="1" customWidth="1"/>
    <col min="2" max="2" width="15.1796875" bestFit="1" customWidth="1"/>
    <col min="3" max="3" width="80.90625" bestFit="1" customWidth="1"/>
    <col min="4" max="4" width="37.5429687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F7BB-8118-4B05-86C6-5011E8B575A6}">
  <dimension ref="E2:E13"/>
  <sheetViews>
    <sheetView workbookViewId="0"/>
  </sheetViews>
  <sheetFormatPr defaultRowHeight="19.8"/>
  <cols>
    <col min="1" max="1" width="6.1796875" bestFit="1" customWidth="1"/>
    <col min="2" max="2" width="17.6328125" bestFit="1" customWidth="1"/>
    <col min="3" max="3" width="52.54296875" bestFit="1" customWidth="1"/>
    <col min="4" max="4" width="58.0898437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(45)</vt:lpstr>
      <vt:lpstr>テーブル 5 (43)</vt:lpstr>
      <vt:lpstr>テーブル 5 (33)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2025-03-30T08:02:56Z</dcterms:modified>
</cp:coreProperties>
</file>