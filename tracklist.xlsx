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F7637E0C-29FF-46FA-AC18-5F63D6461446}" xr6:coauthVersionLast="47" xr6:coauthVersionMax="47" xr10:uidLastSave="{00000000-0000-0000-0000-000000000000}"/>
  <bookViews>
    <workbookView xWindow="1185" yWindow="990" windowWidth="24840" windowHeight="14310" activeTab="1" xr2:uid="{00000000-000D-0000-FFFF-FFFF00000000}"/>
  </bookViews>
  <sheets>
    <sheet name="Sheet1" sheetId="1" r:id="rId1"/>
    <sheet name="Sheet2" sheetId="2" r:id="rId2"/>
    <sheet name="テーブル 5 (49)" sheetId="64" r:id="rId3"/>
    <sheet name="テーブル 5 (47)" sheetId="63" r:id="rId4"/>
    <sheet name="テーブル 5 (33)" sheetId="56" r:id="rId5"/>
  </sheets>
  <definedNames>
    <definedName name="ExternalData_1" localSheetId="2" hidden="1">'テーブル 5 (49)'!$A$1:$E$15</definedName>
    <definedName name="ExternalData_2" localSheetId="0" hidden="1">Sheet1!$A$1:$E$15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26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27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28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<sst xmlns="http://schemas.openxmlformats.org/spreadsheetml/2006/main" count="264" uniqueCount="36">
  <si>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</si>
  <si>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</si>
  <si>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</si>
  <si>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</si>
  <si>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</si>
  <si>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</si>
  <si>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</si>
  <si>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</si>
  <si>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i scream this in the mirror before i interact with anyone</t>
  </si>
  <si>
    <t>JPEGMAFIA</t>
  </si>
  <si>
    <t>SIN MIEDO</t>
  </si>
  <si>
    <t>JPEGMAFIA, Alex Goldblatt , DATPIFFMAFIA</t>
  </si>
  <si>
    <t>I'll Be Right There</t>
  </si>
  <si>
    <t>JPEGMAFIA, Vassal Benford , Ronald Spearman</t>
  </si>
  <si>
    <t>it's dark and hell is hot</t>
  </si>
  <si>
    <t>JPEGMAFIA, FREAKYMAFIACULT, DJ RaMeMes , MC PR , Alex Goldblatt</t>
  </si>
  <si>
    <t>New Black History</t>
  </si>
  <si>
    <t>JPEGMAFIA, Vince Staples, Future , Sonny Digital</t>
  </si>
  <si>
    <t>JPEGMAFIA feat. Vince Staples</t>
  </si>
  <si>
    <t>don't rely on other men</t>
  </si>
  <si>
    <t>JPEGMAFIA, FREAKYMAFIACULT , Alex Goldblatt</t>
  </si>
  <si>
    <t>JPEGMAFIA feat. FREAKYMAFIACULT</t>
  </si>
  <si>
    <t>vulgar display of power</t>
  </si>
  <si>
    <t>JPEGMAFIA , Alex Goldblatt</t>
  </si>
  <si>
    <t>Exmilitary</t>
  </si>
  <si>
    <t>JIHAD JOE</t>
  </si>
  <si>
    <t>JPEGULTRA!</t>
  </si>
  <si>
    <t>JPEGMAFIA, Kenny Beats, Nick Lee, Billy Ray, Alex Goldblatt</t>
  </si>
  <si>
    <t>JPEGMAFIA feat. Denzel Curry</t>
  </si>
  <si>
    <t>either on or off the drugs</t>
  </si>
  <si>
    <t>loop it and leave it</t>
  </si>
  <si>
    <t>Don't Put Anything On the Bible</t>
  </si>
  <si>
    <t>JPEGMAFIA, Buzzy Lee, Robert Hazard, Alex Goldblatt</t>
  </si>
  <si>
    <t>JPEGMAFIA feat. Buzzy Lee</t>
  </si>
  <si>
    <t>i recovered from this</t>
  </si>
  <si>
    <t>JPEGMAFIA, Terry Lewis, Jimmy Jam, Janet Jackson, Alex Goldblatt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</si>
</sst>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4" xr16:uid="{679BC49C-EE4D-486E-9F2F-249C677A9620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2" xr16:uid="{9E43F968-24C3-4274-9F40-BB5C84446636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161266D-61D9-4708-841E-F73F510BB8D3}" name="テーブル_5__495" displayName="テーブル_5__495" ref="A1:E15" tableType="queryTable" totalsRowShown="0">
  <autoFilter ref="A1:E15" xr:uid="{0161266D-61D9-4708-841E-F73F510BB8D3}"/>
  <tableColumns count="5">
    <tableColumn id="1" xr3:uid="{1F111A41-DB8B-4C3E-9F81-E206A1C63938}" uniqueName="1" name="Column1" queryTableFieldId="1"/>
    <tableColumn id="2" xr3:uid="{6ADC61F9-7EBE-4DCD-A125-62186C8910EA}" uniqueName="2" name="Title" queryTableFieldId="2" dataDxfId="3"/>
    <tableColumn id="3" xr3:uid="{171A6BDA-78D8-4EA0-BE09-854F5AE41D3D}" uniqueName="3" name="Composer" queryTableFieldId="3" dataDxfId="2"/>
    <tableColumn id="4" xr3:uid="{44BF89EB-797C-43DF-811A-895B3C81DB3A}" uniqueName="4" name="Performer" queryTableFieldId="4" dataDxfId="1"/>
    <tableColumn id="5" xr3:uid="{464E06F0-4EC8-4CBC-A941-BD7A7EC0C4F4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63999-3CB3-499D-952D-3C90A34C66C8}" name="テーブル_5__49" displayName="テーブル_5__49" ref="A1:E15" tableType="queryTable" totalsRowShown="0">
  <autoFilter ref="A1:E15" xr:uid="{43363999-3CB3-499D-952D-3C90A34C66C8}"/>
  <tableColumns count="5">
    <tableColumn id="1" xr3:uid="{2009DC11-536C-44FE-BC0D-75E0757ECC5C}" uniqueName="1" name="Column1" queryTableFieldId="1"/>
    <tableColumn id="2" xr3:uid="{D3547DCE-1842-4511-A5D0-F6AB7A872CAC}" uniqueName="2" name="Title" queryTableFieldId="2" dataDxfId="7"/>
    <tableColumn id="3" xr3:uid="{2420EA9C-421D-44A8-9118-20FC6CD15DB3}" uniqueName="3" name="Composer" queryTableFieldId="3" dataDxfId="6"/>
    <tableColumn id="4" xr3:uid="{A2F96647-E54D-41C4-A3FD-587E471777DC}" uniqueName="4" name="Performer" queryTableFieldId="4" dataDxfId="5"/>
    <tableColumn id="5" xr3:uid="{BB6227D4-F8EA-4489-BCE0-16F685CA0CEB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selection sqref="A1:XFD1048576"/>
    </sheetView>
  </sheetViews>
  <sheetFormatPr defaultRowHeight="19.5"/>
  <cols>
    <col min="1" max="1" width="11" bestFit="1" customWidth="1"/>
    <col min="2" max="2" width="50.6640625" bestFit="1" customWidth="1"/>
    <col min="3" max="3" width="67.33203125" bestFit="1" customWidth="1"/>
    <col min="4" max="4" width="35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9</v>
      </c>
      <c r="E2" s="5">
        <v>7.4999999999999997E-2</v>
      </c>
    </row>
    <row r="3" spans="1:5">
      <c r="A3">
        <v>2</v>
      </c>
      <c r="B3" s="6" t="s">
        <v>10</v>
      </c>
      <c r="C3" s="6" t="s">
        <v>11</v>
      </c>
      <c r="D3" s="6" t="s">
        <v>9</v>
      </c>
      <c r="E3" s="5">
        <v>0.11527777777777778</v>
      </c>
    </row>
    <row r="4" spans="1:5">
      <c r="A4">
        <v>3</v>
      </c>
      <c r="B4" s="6" t="s">
        <v>12</v>
      </c>
      <c r="C4" s="6" t="s">
        <v>13</v>
      </c>
      <c r="D4" s="6" t="s">
        <v>9</v>
      </c>
      <c r="E4" s="5">
        <v>0.11666666666666667</v>
      </c>
    </row>
    <row r="5" spans="1:5">
      <c r="A5">
        <v>4</v>
      </c>
      <c r="B5" s="6" t="s">
        <v>14</v>
      </c>
      <c r="C5" s="6" t="s">
        <v>15</v>
      </c>
      <c r="D5" s="6" t="s">
        <v>9</v>
      </c>
      <c r="E5" s="5">
        <v>0.10416666666666667</v>
      </c>
    </row>
    <row r="6" spans="1:5">
      <c r="A6">
        <v>5</v>
      </c>
      <c r="B6" s="6" t="s">
        <v>16</v>
      </c>
      <c r="C6" s="6" t="s">
        <v>17</v>
      </c>
      <c r="D6" s="6" t="s">
        <v>18</v>
      </c>
      <c r="E6" s="5">
        <v>9.4444444444444442E-2</v>
      </c>
    </row>
    <row r="7" spans="1:5">
      <c r="A7">
        <v>6</v>
      </c>
      <c r="B7" s="6" t="s">
        <v>19</v>
      </c>
      <c r="C7" s="6" t="s">
        <v>20</v>
      </c>
      <c r="D7" s="6" t="s">
        <v>21</v>
      </c>
      <c r="E7" s="5">
        <v>0.11874999999999999</v>
      </c>
    </row>
    <row r="8" spans="1:5">
      <c r="A8">
        <v>7</v>
      </c>
      <c r="B8" s="6" t="s">
        <v>22</v>
      </c>
      <c r="C8" s="6" t="s">
        <v>23</v>
      </c>
      <c r="D8" s="6" t="s">
        <v>9</v>
      </c>
      <c r="E8" s="5">
        <v>0.11944444444444445</v>
      </c>
    </row>
    <row r="9" spans="1:5">
      <c r="A9">
        <v>8</v>
      </c>
      <c r="B9" s="6" t="s">
        <v>24</v>
      </c>
      <c r="C9" s="6" t="s">
        <v>9</v>
      </c>
      <c r="D9" s="6" t="s">
        <v>9</v>
      </c>
      <c r="E9" s="5">
        <v>0.20902777777777778</v>
      </c>
    </row>
    <row r="10" spans="1:5">
      <c r="A10">
        <v>9</v>
      </c>
      <c r="B10" s="6" t="s">
        <v>25</v>
      </c>
      <c r="C10" s="6" t="s">
        <v>23</v>
      </c>
      <c r="D10" s="6" t="s">
        <v>9</v>
      </c>
      <c r="E10" s="5">
        <v>9.3055555555555558E-2</v>
      </c>
    </row>
    <row r="11" spans="1:5">
      <c r="A11">
        <v>10</v>
      </c>
      <c r="B11" s="6" t="s">
        <v>26</v>
      </c>
      <c r="C11" s="6" t="s">
        <v>27</v>
      </c>
      <c r="D11" s="6" t="s">
        <v>28</v>
      </c>
      <c r="E11" s="5">
        <v>0.20208333333333334</v>
      </c>
    </row>
    <row r="12" spans="1:5">
      <c r="A12">
        <v>11</v>
      </c>
      <c r="B12" s="6" t="s">
        <v>29</v>
      </c>
      <c r="C12" s="6" t="s">
        <v>23</v>
      </c>
      <c r="D12" s="6" t="s">
        <v>9</v>
      </c>
      <c r="E12" s="5">
        <v>9.7222222222222224E-2</v>
      </c>
    </row>
    <row r="13" spans="1:5">
      <c r="A13">
        <v>12</v>
      </c>
      <c r="B13" s="6" t="s">
        <v>30</v>
      </c>
      <c r="C13" s="6" t="s">
        <v>9</v>
      </c>
      <c r="D13" s="6" t="s">
        <v>9</v>
      </c>
      <c r="E13" s="5">
        <v>8.3333333333333329E-2</v>
      </c>
    </row>
    <row r="14" spans="1:5">
      <c r="A14">
        <v>13</v>
      </c>
      <c r="B14" s="6" t="s">
        <v>31</v>
      </c>
      <c r="C14" s="6" t="s">
        <v>32</v>
      </c>
      <c r="D14" s="6" t="s">
        <v>33</v>
      </c>
      <c r="E14" s="5">
        <v>0.16944444444444445</v>
      </c>
    </row>
    <row r="15" spans="1:5">
      <c r="A15">
        <v>14</v>
      </c>
      <c r="B15" s="6" t="s">
        <v>34</v>
      </c>
      <c r="C15" s="6" t="s">
        <v>35</v>
      </c>
      <c r="D15" s="6" t="s">
        <v>9</v>
      </c>
      <c r="E15" s="5">
        <v>0.12152777777777778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K18" sqref="A3:K18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57</v>
      </c>
      <c r="F2" s="1">
        <f t="array" ref="F2">MAX(LENB(Sheet1!C1:'Sheet1'!C30))</f>
        <v>64</v>
      </c>
      <c r="H2" s="1">
        <f t="array" ref="H2">MAX(LENB(Sheet1!D1:'Sheet1'!D30))</f>
        <v>31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                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--------------------------------------------------------- </v>
      </c>
      <c r="E4" s="3" t="s">
        <v>0</v>
      </c>
      <c r="F4" t="str">
        <f>" "&amp;REPT("-",$F$2)&amp;" "</f>
        <v xml:space="preserve"> ---------------------------------------------------------------- </v>
      </c>
      <c r="G4" s="3" t="s">
        <v>0</v>
      </c>
      <c r="H4" t="str">
        <f>" "&amp;REPT("-",$H$2)&amp;" "</f>
        <v xml:space="preserve"> 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>i scream this in the mirror before i interact with anyone</v>
      </c>
      <c r="E5" s="3" t="s">
        <v>0</v>
      </c>
      <c r="F5" t="str">
        <f>" "&amp;LEFTB(Sheet1!C2&amp;REPT(" ",$F$2),$F$2)</f>
        <v xml:space="preserve"> JPEGMAFIA                                                       </v>
      </c>
      <c r="G5" s="3" t="s">
        <v>0</v>
      </c>
      <c r="H5" t="str">
        <f>LEFTB(Sheet1!D2&amp;REPT(" ",$H$2),$H$2)</f>
        <v xml:space="preserve">JPEGMAFIA                      </v>
      </c>
      <c r="I5" s="3" t="s">
        <v>0</v>
      </c>
      <c r="J5" s="2" t="str">
        <f>TEXT(Sheet1!E2,"HH:MM")&amp;" "</f>
        <v xml:space="preserve">01:48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SIN MIEDO                                                </v>
      </c>
      <c r="E6" s="3" t="s">
        <v>0</v>
      </c>
      <c r="F6" t="str">
        <f>" "&amp;LEFTB(Sheet1!C3&amp;REPT(" ",$F$2),$F$2)</f>
        <v xml:space="preserve"> JPEGMAFIA, Alex Goldblatt , DATPIFFMAFIA                        </v>
      </c>
      <c r="G6" s="3" t="s">
        <v>0</v>
      </c>
      <c r="H6" t="str">
        <f>LEFTB(Sheet1!D3&amp;REPT(" ",$H$2),$H$2)</f>
        <v xml:space="preserve">JPEGMAFIA                      </v>
      </c>
      <c r="I6" s="3" t="s">
        <v>0</v>
      </c>
      <c r="J6" s="2" t="str">
        <f>TEXT(Sheet1!E3,"HH:MM")&amp;" "</f>
        <v xml:space="preserve">02:46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I'll Be Right There                                      </v>
      </c>
      <c r="E7" s="3" t="s">
        <v>0</v>
      </c>
      <c r="F7" t="str">
        <f>" "&amp;LEFTB(Sheet1!C4&amp;REPT(" ",$F$2),$F$2)</f>
        <v xml:space="preserve"> JPEGMAFIA, Vassal Benford , Ronald Spearman                     </v>
      </c>
      <c r="G7" s="3" t="s">
        <v>0</v>
      </c>
      <c r="H7" t="str">
        <f>LEFTB(Sheet1!D4&amp;REPT(" ",$H$2),$H$2)</f>
        <v xml:space="preserve">JPEGMAFIA                      </v>
      </c>
      <c r="I7" s="3" t="s">
        <v>0</v>
      </c>
      <c r="J7" s="2" t="str">
        <f>TEXT(Sheet1!E4,"HH:MM")&amp;" "</f>
        <v xml:space="preserve">02:48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it's dark and hell is hot                                </v>
      </c>
      <c r="E8" s="3" t="s">
        <v>0</v>
      </c>
      <c r="F8" t="str">
        <f>" "&amp;LEFTB(Sheet1!C5&amp;REPT(" ",$F$2),$F$2)</f>
        <v xml:space="preserve"> JPEGMAFIA, FREAKYMAFIACULT, DJ RaMeMes , MC PR , Alex Goldblatt </v>
      </c>
      <c r="G8" s="3" t="s">
        <v>0</v>
      </c>
      <c r="H8" t="str">
        <f>LEFTB(Sheet1!D5&amp;REPT(" ",$H$2),$H$2)</f>
        <v xml:space="preserve">JPEGMAFIA                      </v>
      </c>
      <c r="I8" s="3" t="s">
        <v>0</v>
      </c>
      <c r="J8" s="2" t="str">
        <f>TEXT(Sheet1!E5,"HH:MM")&amp;" "</f>
        <v xml:space="preserve">02:30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New Black History                                        </v>
      </c>
      <c r="E9" s="3" t="s">
        <v>0</v>
      </c>
      <c r="F9" t="str">
        <f>" "&amp;LEFTB(Sheet1!C6&amp;REPT(" ",$F$2),$F$2)</f>
        <v xml:space="preserve"> JPEGMAFIA, Vince Staples, Future , Sonny Digital                </v>
      </c>
      <c r="G9" s="3" t="s">
        <v>0</v>
      </c>
      <c r="H9" t="str">
        <f>LEFTB(Sheet1!D6&amp;REPT(" ",$H$2),$H$2)</f>
        <v xml:space="preserve">JPEGMAFIA feat. Vince Staples  </v>
      </c>
      <c r="I9" s="3" t="s">
        <v>0</v>
      </c>
      <c r="J9" s="2" t="str">
        <f>TEXT(Sheet1!E6,"HH:MM")&amp;" "</f>
        <v xml:space="preserve">02:16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don't rely on other men                                  </v>
      </c>
      <c r="E10" s="3" t="s">
        <v>0</v>
      </c>
      <c r="F10" t="str">
        <f>" "&amp;LEFTB(Sheet1!C7&amp;REPT(" ",$F$2),$F$2)</f>
        <v xml:space="preserve"> JPEGMAFIA, FREAKYMAFIACULT , Alex Goldblatt                     </v>
      </c>
      <c r="G10" s="3" t="s">
        <v>0</v>
      </c>
      <c r="H10" t="str">
        <f>LEFTB(Sheet1!D7&amp;REPT(" ",$H$2),$H$2)</f>
        <v>JPEGMAFIA feat. FREAKYMAFIACULT</v>
      </c>
      <c r="I10" s="3" t="s">
        <v>0</v>
      </c>
      <c r="J10" s="2" t="str">
        <f>TEXT(Sheet1!E7,"HH:MM")&amp;" "</f>
        <v xml:space="preserve">02:51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vulgar display of power                                  </v>
      </c>
      <c r="E11" s="3" t="s">
        <v>0</v>
      </c>
      <c r="F11" t="str">
        <f>" "&amp;LEFTB(Sheet1!C8&amp;REPT(" ",$F$2),$F$2)</f>
        <v xml:space="preserve"> JPEGMAFIA , Alex Goldblatt                                      </v>
      </c>
      <c r="G11" s="3" t="s">
        <v>0</v>
      </c>
      <c r="H11" t="str">
        <f>LEFTB(Sheet1!D8&amp;REPT(" ",$H$2),$H$2)</f>
        <v xml:space="preserve">JPEGMAFIA                      </v>
      </c>
      <c r="I11" s="3" t="s">
        <v>0</v>
      </c>
      <c r="J11" s="2" t="str">
        <f>TEXT(Sheet1!E8,"HH:MM")&amp;" "</f>
        <v xml:space="preserve">02:52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Exmilitary                                               </v>
      </c>
      <c r="E12" s="3" t="s">
        <v>0</v>
      </c>
      <c r="F12" t="str">
        <f>" "&amp;LEFTB(Sheet1!C9&amp;REPT(" ",$F$2),$F$2)</f>
        <v xml:space="preserve"> JPEGMAFIA                                                       </v>
      </c>
      <c r="G12" s="3" t="s">
        <v>0</v>
      </c>
      <c r="H12" t="str">
        <f>LEFTB(Sheet1!D9&amp;REPT(" ",$H$2),$H$2)</f>
        <v xml:space="preserve">JPEGMAFIA                      </v>
      </c>
      <c r="I12" s="3" t="s">
        <v>0</v>
      </c>
      <c r="J12" s="2" t="str">
        <f>TEXT(Sheet1!E9,"HH:MM")&amp;" "</f>
        <v xml:space="preserve">05:01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JIHAD JOE                                                </v>
      </c>
      <c r="E13" s="3" t="s">
        <v>0</v>
      </c>
      <c r="F13" t="str">
        <f>" "&amp;LEFTB(Sheet1!C10&amp;REPT(" ",$F$2),$F$2)</f>
        <v xml:space="preserve"> JPEGMAFIA , Alex Goldblatt                                      </v>
      </c>
      <c r="G13" s="3" t="s">
        <v>0</v>
      </c>
      <c r="H13" t="str">
        <f>LEFTB(Sheet1!D10&amp;REPT(" ",$H$2),$H$2)</f>
        <v xml:space="preserve">JPEGMAFIA                      </v>
      </c>
      <c r="I13" s="3" t="s">
        <v>0</v>
      </c>
      <c r="J13" s="2" t="str">
        <f>TEXT(Sheet1!E10,"HH:MM")&amp;" "</f>
        <v xml:space="preserve">02:14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JPEGULTRA!                                               </v>
      </c>
      <c r="E14" s="3" t="s">
        <v>0</v>
      </c>
      <c r="F14" t="str">
        <f>" "&amp;LEFTB(Sheet1!C11&amp;REPT(" ",$F$2),$F$2)</f>
        <v xml:space="preserve"> JPEGMAFIA, Kenny Beats, Nick Lee, Billy Ray, Alex Goldblatt     </v>
      </c>
      <c r="G14" s="3" t="s">
        <v>0</v>
      </c>
      <c r="H14" t="str">
        <f>LEFTB(Sheet1!D11&amp;REPT(" ",$H$2),$H$2)</f>
        <v xml:space="preserve">JPEGMAFIA feat. Denzel Curry   </v>
      </c>
      <c r="I14" s="3" t="s">
        <v>0</v>
      </c>
      <c r="J14" s="2" t="str">
        <f>TEXT(Sheet1!E11,"HH:MM")&amp;" "</f>
        <v xml:space="preserve">04:51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either on or off the drugs                               </v>
      </c>
      <c r="E15" s="3" t="s">
        <v>0</v>
      </c>
      <c r="F15" t="str">
        <f>" "&amp;LEFTB(Sheet1!C12&amp;REPT(" ",$F$2),$F$2)</f>
        <v xml:space="preserve"> JPEGMAFIA , Alex Goldblatt                                      </v>
      </c>
      <c r="G15" s="3" t="s">
        <v>0</v>
      </c>
      <c r="H15" t="str">
        <f>LEFTB(Sheet1!D12&amp;REPT(" ",$H$2),$H$2)</f>
        <v xml:space="preserve">JPEGMAFIA                      </v>
      </c>
      <c r="I15" s="3" t="s">
        <v>0</v>
      </c>
      <c r="J15" s="2" t="str">
        <f>TEXT(Sheet1!E12,"HH:MM")&amp;" "</f>
        <v xml:space="preserve">02:20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loop it and leave it                                     </v>
      </c>
      <c r="E16" s="3" t="s">
        <v>0</v>
      </c>
      <c r="F16" t="str">
        <f>" "&amp;LEFTB(Sheet1!C13&amp;REPT(" ",$F$2),$F$2)</f>
        <v xml:space="preserve"> JPEGMAFIA                                                       </v>
      </c>
      <c r="G16" s="3" t="s">
        <v>0</v>
      </c>
      <c r="H16" t="str">
        <f>LEFTB(Sheet1!D13&amp;REPT(" ",$H$2),$H$2)</f>
        <v xml:space="preserve">JPEGMAFIA                      </v>
      </c>
      <c r="I16" s="3" t="s">
        <v>0</v>
      </c>
      <c r="J16" s="2" t="str">
        <f>TEXT(Sheet1!E13,"HH:MM")&amp;" "</f>
        <v xml:space="preserve">02:00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Don't Put Anything On the Bible                          </v>
      </c>
      <c r="E17" s="3" t="s">
        <v>0</v>
      </c>
      <c r="F17" t="str">
        <f>" "&amp;LEFTB(Sheet1!C14&amp;REPT(" ",$F$2),$F$2)</f>
        <v xml:space="preserve"> JPEGMAFIA, Buzzy Lee, Robert Hazard, Alex Goldblatt             </v>
      </c>
      <c r="G17" s="3" t="s">
        <v>0</v>
      </c>
      <c r="H17" t="str">
        <f>LEFTB(Sheet1!D14&amp;REPT(" ",$H$2),$H$2)</f>
        <v xml:space="preserve">JPEGMAFIA feat. Buzzy Lee      </v>
      </c>
      <c r="I17" s="3" t="s">
        <v>0</v>
      </c>
      <c r="J17" s="2" t="str">
        <f>TEXT(Sheet1!E14,"HH:MM")&amp;" "</f>
        <v xml:space="preserve">04:04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i recovered from this                                    </v>
      </c>
      <c r="E18" s="3" t="s">
        <v>0</v>
      </c>
      <c r="F18" t="str">
        <f>" "&amp;LEFTB(Sheet1!C15&amp;REPT(" ",$F$2),$F$2)</f>
        <v xml:space="preserve"> JPEGMAFIA, Terry Lewis, Jimmy Jam, Janet Jackson, Alex Goldblatt</v>
      </c>
      <c r="G18" s="3" t="s">
        <v>0</v>
      </c>
      <c r="H18" t="str">
        <f>LEFTB(Sheet1!D15&amp;REPT(" ",$H$2),$H$2)</f>
        <v xml:space="preserve">JPEGMAFIA                      </v>
      </c>
      <c r="I18" s="3" t="s">
        <v>0</v>
      </c>
      <c r="J18" s="2" t="str">
        <f>TEXT(Sheet1!E15,"HH:MM")&amp;" "</f>
        <v xml:space="preserve">02:55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                                       </v>
      </c>
      <c r="E19" s="3" t="s">
        <v>0</v>
      </c>
      <c r="F19" t="str">
        <f>" "&amp;LEFTB(Sheet1!C16&amp;REPT(" ",$F$2),$F$2)</f>
        <v xml:space="preserve">                                                                 </v>
      </c>
      <c r="G19" s="3" t="s">
        <v>0</v>
      </c>
      <c r="H19" t="str">
        <f>LEFTB(Sheet1!D16&amp;REPT(" ",$H$2),$H$2)</f>
        <v xml:space="preserve">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                 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                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                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                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             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             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             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           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           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           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           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31B98-6B7E-4C91-8D7A-248E2A7FBEEC}">
  <dimension ref="A1:E15"/>
  <sheetViews>
    <sheetView workbookViewId="0">
      <selection sqref="A1:XFD1048576"/>
    </sheetView>
  </sheetViews>
  <sheetFormatPr defaultRowHeight="19.5"/>
  <cols>
    <col min="1" max="1" width="11" bestFit="1" customWidth="1"/>
    <col min="2" max="2" width="50.6640625" bestFit="1" customWidth="1"/>
    <col min="3" max="3" width="67.33203125" bestFit="1" customWidth="1"/>
    <col min="4" max="4" width="35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9</v>
      </c>
      <c r="E2" s="5">
        <v>7.4999999999999997E-2</v>
      </c>
    </row>
    <row r="3" spans="1:5">
      <c r="A3">
        <v>2</v>
      </c>
      <c r="B3" s="6" t="s">
        <v>10</v>
      </c>
      <c r="C3" s="6" t="s">
        <v>11</v>
      </c>
      <c r="D3" s="6" t="s">
        <v>9</v>
      </c>
      <c r="E3" s="5">
        <v>0.11527777777777778</v>
      </c>
    </row>
    <row r="4" spans="1:5">
      <c r="A4">
        <v>3</v>
      </c>
      <c r="B4" s="6" t="s">
        <v>12</v>
      </c>
      <c r="C4" s="6" t="s">
        <v>13</v>
      </c>
      <c r="D4" s="6" t="s">
        <v>9</v>
      </c>
      <c r="E4" s="5">
        <v>0.11666666666666667</v>
      </c>
    </row>
    <row r="5" spans="1:5">
      <c r="A5">
        <v>4</v>
      </c>
      <c r="B5" s="6" t="s">
        <v>14</v>
      </c>
      <c r="C5" s="6" t="s">
        <v>15</v>
      </c>
      <c r="D5" s="6" t="s">
        <v>9</v>
      </c>
      <c r="E5" s="5">
        <v>0.10416666666666667</v>
      </c>
    </row>
    <row r="6" spans="1:5">
      <c r="A6">
        <v>5</v>
      </c>
      <c r="B6" s="6" t="s">
        <v>16</v>
      </c>
      <c r="C6" s="6" t="s">
        <v>17</v>
      </c>
      <c r="D6" s="6" t="s">
        <v>18</v>
      </c>
      <c r="E6" s="5">
        <v>9.4444444444444442E-2</v>
      </c>
    </row>
    <row r="7" spans="1:5">
      <c r="A7">
        <v>6</v>
      </c>
      <c r="B7" s="6" t="s">
        <v>19</v>
      </c>
      <c r="C7" s="6" t="s">
        <v>20</v>
      </c>
      <c r="D7" s="6" t="s">
        <v>21</v>
      </c>
      <c r="E7" s="5">
        <v>0.11874999999999999</v>
      </c>
    </row>
    <row r="8" spans="1:5">
      <c r="A8">
        <v>7</v>
      </c>
      <c r="B8" s="6" t="s">
        <v>22</v>
      </c>
      <c r="C8" s="6" t="s">
        <v>23</v>
      </c>
      <c r="D8" s="6" t="s">
        <v>9</v>
      </c>
      <c r="E8" s="5">
        <v>0.11944444444444445</v>
      </c>
    </row>
    <row r="9" spans="1:5">
      <c r="A9">
        <v>8</v>
      </c>
      <c r="B9" s="6" t="s">
        <v>24</v>
      </c>
      <c r="C9" s="6" t="s">
        <v>9</v>
      </c>
      <c r="D9" s="6" t="s">
        <v>9</v>
      </c>
      <c r="E9" s="5">
        <v>0.20902777777777778</v>
      </c>
    </row>
    <row r="10" spans="1:5">
      <c r="A10">
        <v>9</v>
      </c>
      <c r="B10" s="6" t="s">
        <v>25</v>
      </c>
      <c r="C10" s="6" t="s">
        <v>23</v>
      </c>
      <c r="D10" s="6" t="s">
        <v>9</v>
      </c>
      <c r="E10" s="5">
        <v>9.3055555555555558E-2</v>
      </c>
    </row>
    <row r="11" spans="1:5">
      <c r="A11">
        <v>10</v>
      </c>
      <c r="B11" s="6" t="s">
        <v>26</v>
      </c>
      <c r="C11" s="6" t="s">
        <v>27</v>
      </c>
      <c r="D11" s="6" t="s">
        <v>28</v>
      </c>
      <c r="E11" s="5">
        <v>0.20208333333333334</v>
      </c>
    </row>
    <row r="12" spans="1:5">
      <c r="A12">
        <v>11</v>
      </c>
      <c r="B12" s="6" t="s">
        <v>29</v>
      </c>
      <c r="C12" s="6" t="s">
        <v>23</v>
      </c>
      <c r="D12" s="6" t="s">
        <v>9</v>
      </c>
      <c r="E12" s="5">
        <v>9.7222222222222224E-2</v>
      </c>
    </row>
    <row r="13" spans="1:5">
      <c r="A13">
        <v>12</v>
      </c>
      <c r="B13" s="6" t="s">
        <v>30</v>
      </c>
      <c r="C13" s="6" t="s">
        <v>9</v>
      </c>
      <c r="D13" s="6" t="s">
        <v>9</v>
      </c>
      <c r="E13" s="5">
        <v>8.3333333333333329E-2</v>
      </c>
    </row>
    <row r="14" spans="1:5">
      <c r="A14">
        <v>13</v>
      </c>
      <c r="B14" s="6" t="s">
        <v>31</v>
      </c>
      <c r="C14" s="6" t="s">
        <v>32</v>
      </c>
      <c r="D14" s="6" t="s">
        <v>33</v>
      </c>
      <c r="E14" s="5">
        <v>0.16944444444444445</v>
      </c>
    </row>
    <row r="15" spans="1:5">
      <c r="A15">
        <v>14</v>
      </c>
      <c r="B15" s="6" t="s">
        <v>34</v>
      </c>
      <c r="C15" s="6" t="s">
        <v>35</v>
      </c>
      <c r="D15" s="6" t="s">
        <v>9</v>
      </c>
      <c r="E15" s="5">
        <v>0.12152777777777778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DD65-EA1E-418F-8184-741BB9DB6715}">
  <dimension ref="B2:E13"/>
  <sheetViews>
    <sheetView workbookViewId="0"/>
  </sheetViews>
  <sheetFormatPr defaultRowHeight="19.5"/>
  <cols>
    <col min="1" max="1" width="6.21875" bestFit="1" customWidth="1"/>
    <col min="2" max="2" width="17.88671875" bestFit="1" customWidth="1"/>
    <col min="3" max="3" width="38.6640625" bestFit="1" customWidth="1"/>
    <col min="4" max="4" width="15.44140625" bestFit="1" customWidth="1"/>
    <col min="5" max="5" width="7.777343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  <row r="13" spans="2:5">
      <c r="B13" s="6"/>
      <c r="C13" s="6"/>
      <c r="D13" s="6"/>
      <c r="E13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AF7BB-8118-4B05-86C6-5011E8B575A6}">
  <dimension ref="E2:E13"/>
  <sheetViews>
    <sheetView workbookViewId="0"/>
  </sheetViews>
  <sheetFormatPr defaultRowHeight="19.5"/>
  <cols>
    <col min="1" max="1" width="6.21875" bestFit="1" customWidth="1"/>
    <col min="2" max="2" width="17.6640625" bestFit="1" customWidth="1"/>
    <col min="3" max="3" width="52.5546875" bestFit="1" customWidth="1"/>
    <col min="4" max="4" width="58.1093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(49)</vt:lpstr>
      <vt:lpstr>テーブル 5 (47)</vt:lpstr>
      <vt:lpstr>テーブル 5 (33)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2025-04-07T12:10:47Z</dcterms:modified>
</cp:coreProperties>
</file>