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defaultThemeVersion="166925"/>
  <mc:AlternateContent xmlns:mc="http://schemas.openxmlformats.org/markup-compatibility/2006">
    <mc:Choice Requires="x15">
      <x15ac:absPath xmlns:x15ac="http://schemas.microsoft.com/office/spreadsheetml/2010/11/ac" url="C:\Users\kazz\Documents\gatsby_v5\"/>
    </mc:Choice>
  </mc:AlternateContent>
  <xr:revisionPtr revIDLastSave="0" documentId="13_ncr:1_{224CDAE9-FBA5-4AE0-BB2D-5868B13EC3EB}" xr6:coauthVersionLast="47" xr6:coauthVersionMax="47" xr10:uidLastSave="{00000000-0000-0000-0000-000000000000}"/>
  <bookViews>
    <workbookView xWindow="274" yWindow="994" windowWidth="24275" windowHeight="12609" activeTab="1" xr2:uid="{00000000-000D-0000-FFFF-FFFF00000000}"/>
  </bookViews>
  <sheets>
    <sheet name="Sheet1" sheetId="1" r:id="rId1"/>
    <sheet name="Sheet2" sheetId="2" r:id="rId2"/>
    <sheet name="テーブル 5 (95)" sheetId="88" r:id="rId3"/>
    <sheet name="テーブル 5 (93)" sheetId="87" r:id="rId4"/>
    <sheet name="テーブル 5 (91)" sheetId="86" r:id="rId5"/>
    <sheet name="Sheet3" sheetId="84" r:id="rId6"/>
  </sheets>
  <definedNames>
    <definedName name="ExternalData_1" localSheetId="3" hidden="1">'テーブル 5 (93)'!$A$1:$E$13</definedName>
    <definedName name="ExternalData_2" localSheetId="0" hidden="1">Sheet1!$A$1:$E$13</definedName>
    <definedName name="ExternalData_2" localSheetId="2" hidden="1">'テーブル 5 (95)'!$A$1:$E$28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4" i="2" l="1"/>
  <c r="B34" i="2"/>
  <c r="J33" i="2"/>
  <c r="B33" i="2"/>
  <c r="J32" i="2"/>
  <c r="B32" i="2"/>
  <c r="J31" i="2"/>
  <c r="B31" i="2"/>
  <c r="J30" i="2"/>
  <c r="B30" i="2"/>
  <c r="J29" i="2"/>
  <c r="B29" i="2"/>
  <c r="J28" i="2"/>
  <c r="B28" i="2"/>
  <c r="J27" i="2" l="1"/>
  <c r="B27" i="2"/>
  <c r="J26" i="2"/>
  <c r="B26" i="2"/>
  <c r="J25" i="2"/>
  <c r="B25" i="2"/>
  <c r="J24" i="2"/>
  <c r="B24" i="2"/>
  <c r="J23" i="2"/>
  <c r="B23" i="2"/>
  <c r="J22" i="2"/>
  <c r="B22" i="2"/>
  <c r="J21" i="2"/>
  <c r="B21" i="2"/>
  <c r="J20" i="2"/>
  <c r="B20" i="2"/>
  <c r="J19" i="2"/>
  <c r="B19" i="2"/>
  <c r="J18" i="2"/>
  <c r="B18" i="2"/>
  <c r="J17" i="2"/>
  <c r="B17" i="2"/>
  <c r="J16" i="2"/>
  <c r="B16" i="2"/>
  <c r="J15" i="2"/>
  <c r="B15" i="2"/>
  <c r="J14" i="2"/>
  <c r="B14" i="2"/>
  <c r="J13" i="2"/>
  <c r="B13" i="2"/>
  <c r="J12" i="2"/>
  <c r="B12" i="2"/>
  <c r="J11" i="2"/>
  <c r="B11" i="2"/>
  <c r="J10" i="2"/>
  <c r="B10" i="2"/>
  <c r="J9" i="2"/>
  <c r="B9" i="2"/>
  <c r="J8" i="2"/>
  <c r="B8" i="2"/>
  <c r="J7" i="2"/>
  <c r="B7" i="2"/>
  <c r="J6" i="2"/>
  <c r="B6" i="2"/>
  <c r="J5" i="2"/>
  <c r="B5" i="2"/>
  <c r="J3" i="2"/>
  <c r="B3" i="2"/>
  <c r="J2" i="2"/>
  <c r="H2" i="2" a="1"/>
  <c r="H2" i="2" s="1"/>
  <c r="F2" i="2" a="1"/>
  <c r="F2" i="2" s="1"/>
  <c r="D2" i="2" a="1"/>
  <c r="D2" i="2" s="1"/>
  <c r="F11" i="2" l="1"/>
  <c r="F7" i="2"/>
  <c r="F34" i="2"/>
  <c r="F31" i="2"/>
  <c r="F33" i="2"/>
  <c r="F32" i="2"/>
  <c r="D32" i="2"/>
  <c r="D34" i="2"/>
  <c r="D31" i="2"/>
  <c r="D33" i="2"/>
  <c r="H34" i="2"/>
  <c r="H31" i="2"/>
  <c r="H33" i="2"/>
  <c r="H32" i="2"/>
  <c r="H24" i="2"/>
  <c r="H30" i="2"/>
  <c r="H28" i="2"/>
  <c r="H29" i="2"/>
  <c r="F30" i="2"/>
  <c r="F28" i="2"/>
  <c r="F29" i="2"/>
  <c r="D26" i="2"/>
  <c r="D29" i="2"/>
  <c r="D30" i="2"/>
  <c r="D28" i="2"/>
  <c r="F21" i="2"/>
  <c r="F23" i="2"/>
  <c r="D12" i="2"/>
  <c r="D20" i="2"/>
  <c r="H7" i="2"/>
  <c r="H15" i="2"/>
  <c r="H3" i="2"/>
  <c r="H5" i="2"/>
  <c r="D7" i="2"/>
  <c r="F10" i="2"/>
  <c r="H13" i="2"/>
  <c r="D15" i="2"/>
  <c r="F18" i="2"/>
  <c r="H21" i="2"/>
  <c r="D23" i="2"/>
  <c r="F26" i="2"/>
  <c r="F4" i="2"/>
  <c r="D6" i="2"/>
  <c r="F9" i="2"/>
  <c r="H12" i="2"/>
  <c r="D14" i="2"/>
  <c r="F17" i="2"/>
  <c r="H20" i="2"/>
  <c r="D22" i="2"/>
  <c r="F25" i="2"/>
  <c r="F15" i="2"/>
  <c r="D9" i="2"/>
  <c r="D25" i="2"/>
  <c r="H4" i="2"/>
  <c r="F6" i="2"/>
  <c r="H9" i="2"/>
  <c r="D11" i="2"/>
  <c r="F14" i="2"/>
  <c r="H17" i="2"/>
  <c r="D19" i="2"/>
  <c r="F22" i="2"/>
  <c r="H25" i="2"/>
  <c r="D27" i="2"/>
  <c r="H10" i="2"/>
  <c r="D4" i="2"/>
  <c r="F12" i="2"/>
  <c r="F20" i="2"/>
  <c r="H6" i="2"/>
  <c r="D8" i="2"/>
  <c r="H14" i="2"/>
  <c r="D16" i="2"/>
  <c r="F19" i="2"/>
  <c r="H22" i="2"/>
  <c r="D24" i="2"/>
  <c r="F27" i="2"/>
  <c r="H18" i="2"/>
  <c r="H26" i="2"/>
  <c r="D17" i="2"/>
  <c r="H23" i="2"/>
  <c r="D3" i="2"/>
  <c r="D5" i="2"/>
  <c r="F8" i="2"/>
  <c r="H11" i="2"/>
  <c r="D13" i="2"/>
  <c r="F16" i="2"/>
  <c r="H19" i="2"/>
  <c r="D21" i="2"/>
  <c r="F24" i="2"/>
  <c r="H27" i="2"/>
  <c r="F3" i="2"/>
  <c r="F5" i="2"/>
  <c r="H8" i="2"/>
  <c r="D10" i="2"/>
  <c r="F13" i="2"/>
  <c r="H16" i="2"/>
  <c r="D18"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クエリ - Table 3" description="ブック内の 'Table 3' クエリへの接続です。" type="5" refreshedVersion="0" background="1">
    <dbPr connection="Provider=Microsoft.Mashup.OleDb.1;Data Source=$Workbook$;Location=&quot;Table 3&quot;;Extended Properties=&quot;&quot;" command="SELECT * FROM [Table 3]"/>
  </connection>
  <connection id="2" xr16:uid="{00000000-0015-0000-FFFF-FFFF01000000}" keepAlive="1" name="クエリ - Table 3 (10)" description="ブック内の 'Table 3 (10)' クエリへの接続です。" type="5" refreshedVersion="8" background="1" saveData="1">
    <dbPr connection="Provider=Microsoft.Mashup.OleDb.1;Data Source=$Workbook$;Location=&quot;Table 3 (10)&quot;;Extended Properties=&quot;&quot;" command="SELECT * FROM [Table 3 (10)]"/>
  </connection>
  <connection id="3" xr16:uid="{00000000-0015-0000-FFFF-FFFF02000000}" keepAlive="1" name="クエリ - Table 3 (11)" description="ブック内の 'Table 3 (11)' クエリへの接続です。" type="5" refreshedVersion="8" background="1" saveData="1">
    <dbPr connection="Provider=Microsoft.Mashup.OleDb.1;Data Source=$Workbook$;Location=&quot;Table 3 (11)&quot;;Extended Properties=&quot;&quot;" command="SELECT * FROM [Table 3 (11)]"/>
  </connection>
  <connection id="4" xr16:uid="{00000000-0015-0000-FFFF-FFFF03000000}" keepAlive="1" name="クエリ - Table 3 (12)" description="ブック内の 'Table 3 (12)' クエリへの接続です。" type="5" refreshedVersion="8" background="1" saveData="1">
    <dbPr connection="Provider=Microsoft.Mashup.OleDb.1;Data Source=$Workbook$;Location=&quot;Table 3 (12)&quot;;Extended Properties=&quot;&quot;" command="SELECT * FROM [Table 3 (12)]"/>
  </connection>
  <connection id="5" xr16:uid="{00000000-0015-0000-FFFF-FFFF04000000}" keepAlive="1" name="クエリ - Table 3 (13)" description="ブック内の 'Table 3 (13)' クエリへの接続です。" type="5" refreshedVersion="0" background="1">
    <dbPr connection="Provider=Microsoft.Mashup.OleDb.1;Data Source=$Workbook$;Location=&quot;Table 3 (13)&quot;;Extended Properties=&quot;&quot;" command="SELECT * FROM [Table 3 (13)]"/>
  </connection>
  <connection id="6" xr16:uid="{00000000-0015-0000-FFFF-FFFF05000000}" keepAlive="1" name="クエリ - Table 3 (14)" description="ブック内の 'Table 3 (14)' クエリへの接続です。" type="5" refreshedVersion="8" background="1" saveData="1">
    <dbPr connection="Provider=Microsoft.Mashup.OleDb.1;Data Source=$Workbook$;Location=&quot;Table 3 (14)&quot;;Extended Properties=&quot;&quot;" command="SELECT * FROM [Table 3 (14)]"/>
  </connection>
  <connection id="7" xr16:uid="{BBDDB330-635A-4FD3-9B97-EA23FECC0AE6}" keepAlive="1" name="クエリ - Table 3 (17)" description="ブック内の 'Table 3 (17)' クエリへの接続です。" type="5" refreshedVersion="0" background="1">
    <dbPr connection="Provider=Microsoft.Mashup.OleDb.1;Data Source=$Workbook$;Location=&quot;Table 3 (17)&quot;;Extended Properties=&quot;&quot;" command="SELECT * FROM [Table 3 (17)]"/>
  </connection>
  <connection id="8" xr16:uid="{59629BA3-7031-4BD0-A30D-0546CC37554E}" keepAlive="1" name="クエリ - Table 3 (18)" description="ブック内の 'Table 3 (18)' クエリへの接続です。" type="5" refreshedVersion="8" background="1" saveData="1">
    <dbPr connection="Provider=Microsoft.Mashup.OleDb.1;Data Source=$Workbook$;Location=&quot;Table 3 (18)&quot;;Extended Properties=&quot;&quot;" command="SELECT * FROM [Table 3 (18)]"/>
  </connection>
  <connection id="9" xr16:uid="{08FA7F66-84D1-41B1-AD8A-A60A8C34F498}" keepAlive="1" name="クエリ - Table 3 (19)" description="ブック内の 'Table 3 (19)' クエリへの接続です。" type="5" refreshedVersion="8" background="1" saveData="1">
    <dbPr connection="Provider=Microsoft.Mashup.OleDb.1;Data Source=$Workbook$;Location=&quot;Table 3 (19)&quot;;Extended Properties=&quot;&quot;" command="SELECT * FROM [Table 3 (19)]"/>
  </connection>
  <connection id="10" xr16:uid="{00000000-0015-0000-FFFF-FFFF06000000}" keepAlive="1" name="クエリ - Table 3 (2)" description="ブック内の 'Table 3 (2)' クエリへの接続です。" type="5" refreshedVersion="0" background="1">
    <dbPr connection="Provider=Microsoft.Mashup.OleDb.1;Data Source=$Workbook$;Location=&quot;Table 3 (2)&quot;;Extended Properties=&quot;&quot;" command="SELECT * FROM [Table 3 (2)]"/>
  </connection>
  <connection id="11" xr16:uid="{1BB2406A-A215-49AD-BDCF-AB1CC1940533}" keepAlive="1" name="クエリ - Table 3 (20)" description="ブック内の 'Table 3 (20)' クエリへの接続です。" type="5" refreshedVersion="8" background="1" saveData="1">
    <dbPr connection="Provider=Microsoft.Mashup.OleDb.1;Data Source=$Workbook$;Location=&quot;Table 3 (20)&quot;;Extended Properties=&quot;&quot;" command="SELECT * FROM [Table 3 (20)]"/>
  </connection>
  <connection id="12" xr16:uid="{A923C67F-66FA-47A7-8769-2C8E672AADC2}" keepAlive="1" name="クエリ - Table 3 (21)" description="ブック内の 'Table 3 (21)' クエリへの接続です。" type="5" refreshedVersion="0" background="1">
    <dbPr connection="Provider=Microsoft.Mashup.OleDb.1;Data Source=$Workbook$;Location=&quot;Table 3 (21)&quot;;Extended Properties=&quot;&quot;" command="SELECT * FROM [Table 3 (21)]"/>
  </connection>
  <connection id="13" xr16:uid="{5C4F1F22-6BC5-4EEF-A525-55F0A2EAA8AB}" keepAlive="1" name="クエリ - Table 3 (22)" description="ブック内の 'Table 3 (22)' クエリへの接続です。" type="5" refreshedVersion="8" background="1" saveData="1">
    <dbPr connection="Provider=Microsoft.Mashup.OleDb.1;Data Source=$Workbook$;Location=&quot;Table 3 (22)&quot;;Extended Properties=&quot;&quot;" command="SELECT * FROM [Table 3 (22)]"/>
  </connection>
  <connection id="14" xr16:uid="{E157A86B-7235-439A-ACCA-6870352BCCE2}" keepAlive="1" name="クエリ - Table 3 (23)" description="ブック内の 'Table 3 (23)' クエリへの接続です。" type="5" refreshedVersion="8" background="1" saveData="1">
    <dbPr connection="Provider=Microsoft.Mashup.OleDb.1;Data Source=$Workbook$;Location=&quot;Table 3 (23)&quot;;Extended Properties=&quot;&quot;" command="SELECT * FROM [Table 3 (23)]"/>
  </connection>
  <connection id="15" xr16:uid="{BCB139AD-686B-4CA1-BED5-5EF4474290DB}" keepAlive="1" name="クエリ - Table 3 (24)" description="ブック内の 'Table 3 (24)' クエリへの接続です。" type="5" refreshedVersion="8" background="1" saveData="1">
    <dbPr connection="Provider=Microsoft.Mashup.OleDb.1;Data Source=$Workbook$;Location=&quot;Table 3 (24)&quot;;Extended Properties=&quot;&quot;" command="SELECT * FROM [Table 3 (24)]"/>
  </connection>
  <connection id="16" xr16:uid="{B390C490-7684-4991-B334-3962976A3C16}" keepAlive="1" name="クエリ - Table 3 (25)" description="ブック内の 'Table 3 (25)' クエリへの接続です。" type="5" refreshedVersion="0" background="1">
    <dbPr connection="Provider=Microsoft.Mashup.OleDb.1;Data Source=$Workbook$;Location=&quot;Table 3 (25)&quot;;Extended Properties=&quot;&quot;" command="SELECT * FROM [Table 3 (25)]"/>
  </connection>
  <connection id="17" xr16:uid="{96404DEB-DCAD-4EF3-9CB5-CDF10EE8EA43}" keepAlive="1" name="クエリ - Table 3 (26)" description="ブック内の 'Table 3 (26)' クエリへの接続です。" type="5" refreshedVersion="8" background="1" saveData="1">
    <dbPr connection="Provider=Microsoft.Mashup.OleDb.1;Data Source=$Workbook$;Location=&quot;Table 3 (26)&quot;;Extended Properties=&quot;&quot;" command="SELECT * FROM [Table 3 (26)]"/>
  </connection>
  <connection id="18" xr16:uid="{D91FCA50-814B-4209-9685-ADAE4EE9A52E}" keepAlive="1" name="クエリ - Table 3 (27)" description="ブック内の 'Table 3 (27)' クエリへの接続です。" type="5" refreshedVersion="0" background="1">
    <dbPr connection="Provider=Microsoft.Mashup.OleDb.1;Data Source=$Workbook$;Location=&quot;Table 3 (27)&quot;;Extended Properties=&quot;&quot;" command="SELECT * FROM [Table 3 (27)]"/>
  </connection>
  <connection id="19" xr16:uid="{087A6F5E-2E87-4E34-AC3A-2C6157520DAA}" keepAlive="1" name="クエリ - Table 3 (28)" description="ブック内の 'Table 3 (28)' クエリへの接続です。" type="5" refreshedVersion="8" background="1" saveData="1">
    <dbPr connection="Provider=Microsoft.Mashup.OleDb.1;Data Source=$Workbook$;Location=&quot;Table 3 (28)&quot;;Extended Properties=&quot;&quot;" command="SELECT * FROM [Table 3 (28)]"/>
  </connection>
  <connection id="20" xr16:uid="{5ABE8F91-5CB3-468F-9F21-A64594C0D26F}" keepAlive="1" name="クエリ - Table 3 (29)" description="ブック内の 'Table 3 (29)' クエリへの接続です。" type="5" refreshedVersion="8" background="1" saveData="1">
    <dbPr connection="Provider=Microsoft.Mashup.OleDb.1;Data Source=$Workbook$;Location=&quot;Table 3 (29)&quot;;Extended Properties=&quot;&quot;" command="SELECT * FROM [Table 3 (29)]"/>
  </connection>
  <connection id="21" xr16:uid="{00000000-0015-0000-FFFF-FFFF07000000}" keepAlive="1" name="クエリ - Table 3 (3)" description="ブック内の 'Table 3 (3)' クエリへの接続です。" type="5" refreshedVersion="8" background="1" saveData="1">
    <dbPr connection="Provider=Microsoft.Mashup.OleDb.1;Data Source=$Workbook$;Location=&quot;Table 3 (3)&quot;;Extended Properties=&quot;&quot;" command="SELECT * FROM [Table 3 (3)]"/>
  </connection>
  <connection id="22" xr16:uid="{30219059-5A6A-48D3-B83D-9E080CDF23F5}" keepAlive="1" name="クエリ - Table 3 (30)" description="ブック内の 'Table 3 (30)' クエリへの接続です。" type="5" refreshedVersion="8" background="1" saveData="1">
    <dbPr connection="Provider=Microsoft.Mashup.OleDb.1;Data Source=$Workbook$;Location=&quot;Table 3 (30)&quot;;Extended Properties=&quot;&quot;" command="SELECT * FROM [Table 3 (30)]"/>
  </connection>
  <connection id="23" xr16:uid="{BEEC4493-24B8-45BD-BA72-A99614481F9D}" keepAlive="1" name="クエリ - Table 3 (31)" description="ブック内の 'Table 3 (31)' クエリへの接続です。" type="5" refreshedVersion="0" background="1">
    <dbPr connection="Provider=Microsoft.Mashup.OleDb.1;Data Source=$Workbook$;Location=&quot;Table 3 (31)&quot;;Extended Properties=&quot;&quot;" command="SELECT * FROM [Table 3 (31)]"/>
  </connection>
  <connection id="24" xr16:uid="{F96985D1-BCC0-4393-809C-6ACB6E0D2913}" keepAlive="1" name="クエリ - Table 3 (32)" description="ブック内の 'Table 3 (32)' クエリへの接続です。" type="5" refreshedVersion="8" background="1" saveData="1">
    <dbPr connection="Provider=Microsoft.Mashup.OleDb.1;Data Source=$Workbook$;Location=&quot;Table 3 (32)&quot;;Extended Properties=&quot;&quot;" command="SELECT * FROM [Table 3 (32)]"/>
  </connection>
  <connection id="25" xr16:uid="{5F823967-9E8D-4A03-9DA1-1A207095B3ED}" keepAlive="1" name="クエリ - Table 3 (33)" description="ブック内の 'Table 3 (33)' クエリへの接続です。" type="5" refreshedVersion="8" background="1" saveData="1">
    <dbPr connection="Provider=Microsoft.Mashup.OleDb.1;Data Source=$Workbook$;Location=&quot;Table 3 (33)&quot;;Extended Properties=&quot;&quot;" command="SELECT * FROM [Table 3 (33)]"/>
  </connection>
  <connection id="26" xr16:uid="{5993CCC8-FDFD-4119-B7F4-609C7EF0845B}" keepAlive="1" name="クエリ - Table 3 (34)" description="ブック内の 'Table 3 (34)' クエリへの接続です。" type="5" refreshedVersion="8" background="1" saveData="1">
    <dbPr connection="Provider=Microsoft.Mashup.OleDb.1;Data Source=$Workbook$;Location=&quot;Table 3 (34)&quot;;Extended Properties=&quot;&quot;" command="SELECT * FROM [Table 3 (34)]"/>
  </connection>
  <connection id="27" xr16:uid="{0D4A6A05-6E5B-4965-8A95-0C2485E0B07A}" keepAlive="1" name="クエリ - Table 3 (35)" description="ブック内の 'Table 3 (35)' クエリへの接続です。" type="5" refreshedVersion="8" background="1" saveData="1">
    <dbPr connection="Provider=Microsoft.Mashup.OleDb.1;Data Source=$Workbook$;Location=&quot;Table 3 (35)&quot;;Extended Properties=&quot;&quot;" command="SELECT * FROM [Table 3 (35)]"/>
  </connection>
  <connection id="28" xr16:uid="{A7B07713-00C4-4892-A796-A8938D2A4F65}" keepAlive="1" name="クエリ - Table 3 (36)" description="ブック内の 'Table 3 (36)' クエリへの接続です。" type="5" refreshedVersion="8" background="1" saveData="1">
    <dbPr connection="Provider=Microsoft.Mashup.OleDb.1;Data Source=$Workbook$;Location=&quot;Table 3 (36)&quot;;Extended Properties=&quot;&quot;" command="SELECT * FROM [Table 3 (36)]"/>
  </connection>
  <connection id="29" xr16:uid="{C3B7EA04-0FA9-4840-9156-A7C81F662A74}" keepAlive="1" name="クエリ - Table 3 (37)" description="ブック内の 'Table 3 (37)' クエリへの接続です。" type="5" refreshedVersion="8" background="1" saveData="1">
    <dbPr connection="Provider=Microsoft.Mashup.OleDb.1;Data Source=$Workbook$;Location=&quot;Table 3 (37)&quot;;Extended Properties=&quot;&quot;" command="SELECT * FROM [Table 3 (37)]"/>
  </connection>
  <connection id="30" xr16:uid="{3D7F0046-D826-4677-B8E6-2DD830DB01D7}" keepAlive="1" name="クエリ - Table 3 (38)" description="ブック内の 'Table 3 (38)' クエリへの接続です。" type="5" refreshedVersion="8" background="1" saveData="1">
    <dbPr connection="Provider=Microsoft.Mashup.OleDb.1;Data Source=$Workbook$;Location=&quot;Table 3 (38)&quot;;Extended Properties=&quot;&quot;" command="SELECT * FROM [Table 3 (38)]"/>
  </connection>
  <connection id="31" xr16:uid="{D95B5317-AB5F-4BB7-BFEC-8E4CC14D01E4}" keepAlive="1" name="クエリ - Table 3 (39)" description="ブック内の 'Table 3 (39)' クエリへの接続です。" type="5" refreshedVersion="0" background="1">
    <dbPr connection="Provider=Microsoft.Mashup.OleDb.1;Data Source=$Workbook$;Location=&quot;Table 3 (39)&quot;;Extended Properties=&quot;&quot;" command="SELECT * FROM [Table 3 (39)]"/>
  </connection>
  <connection id="32" xr16:uid="{00000000-0015-0000-FFFF-FFFF08000000}" keepAlive="1" name="クエリ - Table 3 (4)" description="ブック内の 'Table 3 (4)' クエリへの接続です。" type="5" refreshedVersion="8" background="1" saveData="1">
    <dbPr connection="Provider=Microsoft.Mashup.OleDb.1;Data Source=$Workbook$;Location=&quot;Table 3 (4)&quot;;Extended Properties=&quot;&quot;" command="SELECT * FROM [Table 3 (4)]"/>
  </connection>
  <connection id="33" xr16:uid="{3E8A2834-A264-4926-9CC7-F3D329839317}" keepAlive="1" name="クエリ - Table 3 (40)" description="ブック内の 'Table 3 (40)' クエリへの接続です。" type="5" refreshedVersion="8" background="1" saveData="1">
    <dbPr connection="Provider=Microsoft.Mashup.OleDb.1;Data Source=$Workbook$;Location=&quot;Table 3 (40)&quot;;Extended Properties=&quot;&quot;" command="SELECT * FROM [Table 3 (40)]"/>
  </connection>
  <connection id="34" xr16:uid="{0C3944EF-E0CC-4A8C-84AA-0B82D6653D85}" keepAlive="1" name="クエリ - Table 3 (41)" description="ブック内の 'Table 3 (41)' クエリへの接続です。" type="5" refreshedVersion="8" background="1" saveData="1">
    <dbPr connection="Provider=Microsoft.Mashup.OleDb.1;Data Source=$Workbook$;Location=&quot;Table 3 (41)&quot;;Extended Properties=&quot;&quot;" command="SELECT * FROM [Table 3 (41)]"/>
  </connection>
  <connection id="35" xr16:uid="{1714E083-43AA-4694-B263-134E90E36B66}" keepAlive="1" name="クエリ - Table 3 (42)" description="ブック内の 'Table 3 (42)' クエリへの接続です。" type="5" refreshedVersion="8" background="1" saveData="1">
    <dbPr connection="Provider=Microsoft.Mashup.OleDb.1;Data Source=$Workbook$;Location=&quot;Table 3 (42)&quot;;Extended Properties=&quot;&quot;" command="SELECT * FROM [Table 3 (42)]"/>
  </connection>
  <connection id="36" xr16:uid="{D71BE0F1-CAB7-4A33-907C-8F8851146D48}" keepAlive="1" name="クエリ - Table 3 (43)" description="ブック内の 'Table 3 (43)' クエリへの接続です。" type="5" refreshedVersion="0" background="1">
    <dbPr connection="Provider=Microsoft.Mashup.OleDb.1;Data Source=$Workbook$;Location=&quot;Table 3 (43)&quot;;Extended Properties=&quot;&quot;" command="SELECT * FROM [Table 3 (43)]"/>
  </connection>
  <connection id="37" xr16:uid="{044A3C8E-03A8-4B2C-86FF-586DDE5D3C13}" keepAlive="1" name="クエリ - Table 3 (44)" description="ブック内の 'Table 3 (44)' クエリへの接続です。" type="5" refreshedVersion="8" background="1" saveData="1">
    <dbPr connection="Provider=Microsoft.Mashup.OleDb.1;Data Source=$Workbook$;Location=&quot;Table 3 (44)&quot;;Extended Properties=&quot;&quot;" command="SELECT * FROM [Table 3 (44)]"/>
  </connection>
  <connection id="38" xr16:uid="{9441CB51-2FCB-4D67-B7BB-ACB4516A2F42}" keepAlive="1" name="クエリ - Table 3 (45)" description="ブック内の 'Table 3 (45)' クエリへの接続です。" type="5" refreshedVersion="8" background="1" saveData="1">
    <dbPr connection="Provider=Microsoft.Mashup.OleDb.1;Data Source=$Workbook$;Location=&quot;Table 3 (45)&quot;;Extended Properties=&quot;&quot;" command="SELECT * FROM [Table 3 (45)]"/>
  </connection>
  <connection id="39" xr16:uid="{1CDB8E65-1689-402A-B03C-C1609D040FA1}" keepAlive="1" name="クエリ - Table 3 (46)" description="ブック内の 'Table 3 (46)' クエリへの接続です。" type="5" refreshedVersion="8" background="1" saveData="1">
    <dbPr connection="Provider=Microsoft.Mashup.OleDb.1;Data Source=$Workbook$;Location=&quot;Table 3 (46)&quot;;Extended Properties=&quot;&quot;" command="SELECT * FROM [Table 3 (46)]"/>
  </connection>
  <connection id="40" xr16:uid="{EBC09895-E0C2-4FEB-837A-191072F1BFE8}" keepAlive="1" name="クエリ - Table 3 (47)" description="ブック内の 'Table 3 (47)' クエリへの接続です。" type="5" refreshedVersion="0" background="1">
    <dbPr connection="Provider=Microsoft.Mashup.OleDb.1;Data Source=$Workbook$;Location=&quot;Table 3 (47)&quot;;Extended Properties=&quot;&quot;" command="SELECT * FROM [Table 3 (47)]"/>
  </connection>
  <connection id="41" xr16:uid="{6C6798D4-B054-4576-9333-829ED85B7AE1}" keepAlive="1" name="クエリ - Table 3 (48)" description="ブック内の 'Table 3 (48)' クエリへの接続です。" type="5" refreshedVersion="8" background="1" saveData="1">
    <dbPr connection="Provider=Microsoft.Mashup.OleDb.1;Data Source=$Workbook$;Location=&quot;Table 3 (48)&quot;;Extended Properties=&quot;&quot;" command="SELECT * FROM [Table 3 (48)]"/>
  </connection>
  <connection id="42" xr16:uid="{ED3463E4-9D92-46BD-BE53-E246E580EFFB}" keepAlive="1" name="クエリ - Table 3 (49)" description="ブック内の 'Table 3 (49)' クエリへの接続です。" type="5" refreshedVersion="8" background="1" saveData="1">
    <dbPr connection="Provider=Microsoft.Mashup.OleDb.1;Data Source=$Workbook$;Location=&quot;Table 3 (49)&quot;;Extended Properties=&quot;&quot;" command="SELECT * FROM [Table 3 (49)]"/>
  </connection>
  <connection id="43" xr16:uid="{00000000-0015-0000-FFFF-FFFF09000000}" keepAlive="1" name="クエリ - Table 3 (5)" description="ブック内の 'Table 3 (5)' クエリへの接続です。" type="5" refreshedVersion="8" background="1" saveData="1">
    <dbPr connection="Provider=Microsoft.Mashup.OleDb.1;Data Source=$Workbook$;Location=&quot;Table 3 (5)&quot;;Extended Properties=&quot;&quot;" command="SELECT * FROM [Table 3 (5)]"/>
  </connection>
  <connection id="44" xr16:uid="{2DE8387B-4D55-4A60-931A-2428019F495E}" keepAlive="1" name="クエリ - Table 3 (50)" description="ブック内の 'Table 3 (50)' クエリへの接続です。" type="5" refreshedVersion="8" background="1" saveData="1">
    <dbPr connection="Provider=Microsoft.Mashup.OleDb.1;Data Source=$Workbook$;Location=&quot;Table 3 (50)&quot;;Extended Properties=&quot;&quot;" command="SELECT * FROM [Table 3 (50)]"/>
  </connection>
  <connection id="45" xr16:uid="{7F7B5444-DE18-4398-B0CA-217250B9FCF4}" keepAlive="1" name="クエリ - Table 3 (51)" description="ブック内の 'Table 3 (51)' クエリへの接続です。" type="5" refreshedVersion="0" background="1">
    <dbPr connection="Provider=Microsoft.Mashup.OleDb.1;Data Source=$Workbook$;Location=&quot;Table 3 (51)&quot;;Extended Properties=&quot;&quot;" command="SELECT * FROM [Table 3 (51)]"/>
  </connection>
  <connection id="46" xr16:uid="{F9CEF165-5BD4-4BA9-A76D-DD931EE26B40}" keepAlive="1" name="クエリ - Table 3 (52)" description="ブック内の 'Table 3 (52)' クエリへの接続です。" type="5" refreshedVersion="8" background="1" saveData="1">
    <dbPr connection="Provider=Microsoft.Mashup.OleDb.1;Data Source=$Workbook$;Location=&quot;Table 3 (52)&quot;;Extended Properties=&quot;&quot;" command="SELECT * FROM [Table 3 (52)]"/>
  </connection>
  <connection id="47" xr16:uid="{63A81AD9-0308-409F-A920-7FF919C71A6B}" keepAlive="1" name="クエリ - Table 3 (53)" description="ブック内の 'Table 3 (53)' クエリへの接続です。" type="5" refreshedVersion="8" background="1" saveData="1">
    <dbPr connection="Provider=Microsoft.Mashup.OleDb.1;Data Source=$Workbook$;Location=&quot;Table 3 (53)&quot;;Extended Properties=&quot;&quot;" command="SELECT * FROM [Table 3 (53)]"/>
  </connection>
  <connection id="48" xr16:uid="{A53EFC76-213A-4881-BDBC-9CBA0B986614}" keepAlive="1" name="クエリ - Table 3 (54)" description="ブック内の 'Table 3 (54)' クエリへの接続です。" type="5" refreshedVersion="8" background="1" saveData="1">
    <dbPr connection="Provider=Microsoft.Mashup.OleDb.1;Data Source=$Workbook$;Location=&quot;Table 3 (54)&quot;;Extended Properties=&quot;&quot;" command="SELECT * FROM [Table 3 (54)]"/>
  </connection>
  <connection id="49" xr16:uid="{D3CF9B5C-9D7D-4794-BEC1-6743F9CB0611}" keepAlive="1" name="クエリ - Table 3 (55)" description="ブック内の 'Table 3 (55)' クエリへの接続です。" type="5" refreshedVersion="0" background="1">
    <dbPr connection="Provider=Microsoft.Mashup.OleDb.1;Data Source=$Workbook$;Location=&quot;Table 3 (55)&quot;;Extended Properties=&quot;&quot;" command="SELECT * FROM [Table 3 (55)]"/>
  </connection>
  <connection id="50" xr16:uid="{A1540960-9E11-4465-BB2F-7A13C34D06C9}" keepAlive="1" name="クエリ - Table 3 (56)" description="ブック内の 'Table 3 (56)' クエリへの接続です。" type="5" refreshedVersion="8" background="1" saveData="1">
    <dbPr connection="Provider=Microsoft.Mashup.OleDb.1;Data Source=$Workbook$;Location=&quot;Table 3 (56)&quot;;Extended Properties=&quot;&quot;" command="SELECT * FROM [Table 3 (56)]"/>
  </connection>
  <connection id="51" xr16:uid="{CEF73C73-578B-4672-B688-03089AFFF831}" keepAlive="1" name="クエリ - Table 3 (57)" description="ブック内の 'Table 3 (57)' クエリへの接続です。" type="5" refreshedVersion="8" background="1" saveData="1">
    <dbPr connection="Provider=Microsoft.Mashup.OleDb.1;Data Source=$Workbook$;Location=&quot;Table 3 (57)&quot;;Extended Properties=&quot;&quot;" command="SELECT * FROM [Table 3 (57)]"/>
  </connection>
  <connection id="52" xr16:uid="{F8353580-F12A-49C9-A1B0-E2DC70758AA5}" keepAlive="1" name="クエリ - Table 3 (58)" description="ブック内の 'Table 3 (58)' クエリへの接続です。" type="5" refreshedVersion="8" background="1" saveData="1">
    <dbPr connection="Provider=Microsoft.Mashup.OleDb.1;Data Source=$Workbook$;Location=&quot;Table 3 (58)&quot;;Extended Properties=&quot;&quot;" command="SELECT * FROM [Table 3 (58)]"/>
  </connection>
  <connection id="53" xr16:uid="{6F2A582B-139A-408D-8A3F-AF9218616E11}" keepAlive="1" name="クエリ - Table 3 (59)" description="ブック内の 'Table 3 (59)' クエリへの接続です。" type="5" refreshedVersion="0" background="1">
    <dbPr connection="Provider=Microsoft.Mashup.OleDb.1;Data Source=$Workbook$;Location=&quot;Table 3 (59)&quot;;Extended Properties=&quot;&quot;" command="SELECT * FROM [Table 3 (59)]"/>
  </connection>
  <connection id="54" xr16:uid="{00000000-0015-0000-FFFF-FFFF0A000000}" keepAlive="1" name="クエリ - Table 3 (6)" description="ブック内の 'Table 3 (6)' クエリへの接続です。" type="5" refreshedVersion="8" background="1" saveData="1">
    <dbPr connection="Provider=Microsoft.Mashup.OleDb.1;Data Source=$Workbook$;Location=&quot;Table 3 (6)&quot;;Extended Properties=&quot;&quot;" command="SELECT * FROM [Table 3 (6)]"/>
  </connection>
  <connection id="55" xr16:uid="{6D322BA9-22CA-4EDE-9A6E-5578919B3227}" keepAlive="1" name="クエリ - Table 3 (60)" description="ブック内の 'Table 3 (60)' クエリへの接続です。" type="5" refreshedVersion="8" background="1" saveData="1">
    <dbPr connection="Provider=Microsoft.Mashup.OleDb.1;Data Source=$Workbook$;Location=&quot;Table 3 (60)&quot;;Extended Properties=&quot;&quot;" command="SELECT * FROM [Table 3 (60)]"/>
  </connection>
  <connection id="56" xr16:uid="{92A15584-4775-4A0F-805C-71FAC8A438A8}" keepAlive="1" name="クエリ - Table 3 (61)" description="ブック内の 'Table 3 (61)' クエリへの接続です。" type="5" refreshedVersion="8" background="1" saveData="1">
    <dbPr connection="Provider=Microsoft.Mashup.OleDb.1;Data Source=$Workbook$;Location=&quot;Table 3 (61)&quot;;Extended Properties=&quot;&quot;" command="SELECT * FROM [Table 3 (61)]"/>
  </connection>
  <connection id="57" xr16:uid="{094B29CD-E7A5-4E46-B477-8DCBF892703D}" keepAlive="1" name="クエリ - Table 3 (62)" description="ブック内の 'Table 3 (62)' クエリへの接続です。" type="5" refreshedVersion="8" background="1" saveData="1">
    <dbPr connection="Provider=Microsoft.Mashup.OleDb.1;Data Source=$Workbook$;Location=&quot;Table 3 (62)&quot;;Extended Properties=&quot;&quot;" command="SELECT * FROM [Table 3 (62)]"/>
  </connection>
  <connection id="58" xr16:uid="{FF7ADC95-B0EE-4B27-A1AA-F5EE285A2A78}" keepAlive="1" name="クエリ - Table 3 (63)" description="ブック内の 'Table 3 (63)' クエリへの接続です。" type="5" refreshedVersion="0" background="1">
    <dbPr connection="Provider=Microsoft.Mashup.OleDb.1;Data Source=$Workbook$;Location=&quot;Table 3 (63)&quot;;Extended Properties=&quot;&quot;" command="SELECT * FROM [Table 3 (63)]"/>
  </connection>
  <connection id="59" xr16:uid="{9E3C50A5-DF4A-4989-9A02-D97A840BC531}" keepAlive="1" name="クエリ - Table 3 (64)" description="ブック内の 'Table 3 (64)' クエリへの接続です。" type="5" refreshedVersion="8" background="1" saveData="1">
    <dbPr connection="Provider=Microsoft.Mashup.OleDb.1;Data Source=$Workbook$;Location=&quot;Table 3 (64)&quot;;Extended Properties=&quot;&quot;" command="SELECT * FROM [Table 3 (64)]"/>
  </connection>
  <connection id="60" xr16:uid="{46E3448E-73B0-4D62-B62D-2E55B157E580}" keepAlive="1" name="クエリ - Table 3 (65)" description="ブック内の 'Table 3 (65)' クエリへの接続です。" type="5" refreshedVersion="8" background="1" saveData="1">
    <dbPr connection="Provider=Microsoft.Mashup.OleDb.1;Data Source=$Workbook$;Location=&quot;Table 3 (65)&quot;;Extended Properties=&quot;&quot;" command="SELECT * FROM [Table 3 (65)]"/>
  </connection>
  <connection id="61" xr16:uid="{54F3CD74-7489-4FB7-8D70-565154485148}" keepAlive="1" name="クエリ - Table 3 (66)" description="ブック内の 'Table 3 (66)' クエリへの接続です。" type="5" refreshedVersion="8" background="1" saveData="1">
    <dbPr connection="Provider=Microsoft.Mashup.OleDb.1;Data Source=$Workbook$;Location=&quot;Table 3 (66)&quot;;Extended Properties=&quot;&quot;" command="SELECT * FROM [Table 3 (66)]"/>
  </connection>
  <connection id="62" xr16:uid="{AADF24EB-F9B8-4687-B471-60BB18F0F795}" keepAlive="1" name="クエリ - Table 3 (67)" description="ブック内の 'Table 3 (67)' クエリへの接続です。" type="5" refreshedVersion="0" background="1">
    <dbPr connection="Provider=Microsoft.Mashup.OleDb.1;Data Source=$Workbook$;Location=&quot;Table 3 (67)&quot;;Extended Properties=&quot;&quot;" command="SELECT * FROM [Table 3 (67)]"/>
  </connection>
  <connection id="63" xr16:uid="{7B264E4C-3731-4571-9220-7CFF494EF746}" keepAlive="1" name="クエリ - Table 3 (68)" description="ブック内の 'Table 3 (68)' クエリへの接続です。" type="5" refreshedVersion="8" background="1" saveData="1">
    <dbPr connection="Provider=Microsoft.Mashup.OleDb.1;Data Source=$Workbook$;Location=&quot;Table 3 (68)&quot;;Extended Properties=&quot;&quot;" command="SELECT * FROM [Table 3 (68)]"/>
  </connection>
  <connection id="64" xr16:uid="{7DB00DCD-0E5C-4F71-823F-0F0265165258}" keepAlive="1" name="クエリ - Table 3 (69)" description="ブック内の 'Table 3 (69)' クエリへの接続です。" type="5" refreshedVersion="8" background="1" saveData="1">
    <dbPr connection="Provider=Microsoft.Mashup.OleDb.1;Data Source=$Workbook$;Location=&quot;Table 3 (69)&quot;;Extended Properties=&quot;&quot;" command="SELECT * FROM [Table 3 (69)]"/>
  </connection>
  <connection id="65" xr16:uid="{00000000-0015-0000-FFFF-FFFF0B000000}" keepAlive="1" name="クエリ - Table 3 (7)" description="ブック内の 'Table 3 (7)' クエリへの接続です。" type="5" refreshedVersion="8" background="1" saveData="1">
    <dbPr connection="Provider=Microsoft.Mashup.OleDb.1;Data Source=$Workbook$;Location=&quot;Table 3 (7)&quot;;Extended Properties=&quot;&quot;" command="SELECT * FROM [Table 3 (7)]"/>
  </connection>
  <connection id="66" xr16:uid="{02665DCA-91FA-49E0-812F-867079DA84F1}" keepAlive="1" name="クエリ - Table 3 (70)" description="ブック内の 'Table 3 (70)' クエリへの接続です。" type="5" refreshedVersion="8" background="1" saveData="1">
    <dbPr connection="Provider=Microsoft.Mashup.OleDb.1;Data Source=$Workbook$;Location=&quot;Table 3 (70)&quot;;Extended Properties=&quot;&quot;" command="SELECT * FROM [Table 3 (70)]"/>
  </connection>
  <connection id="67" xr16:uid="{05376101-A942-48DB-A9DC-EE975F683E71}" keepAlive="1" name="クエリ - Table 3 (71)" description="ブック内の 'Table 3 (71)' クエリへの接続です。" type="5" refreshedVersion="0" background="1">
    <dbPr connection="Provider=Microsoft.Mashup.OleDb.1;Data Source=$Workbook$;Location=&quot;Table 3 (71)&quot;;Extended Properties=&quot;&quot;" command="SELECT * FROM [Table 3 (71)]"/>
  </connection>
  <connection id="68" xr16:uid="{E993DDB2-F288-42A6-B4C7-F11FD2B0C5EC}" keepAlive="1" name="クエリ - Table 3 (72)" description="ブック内の 'Table 3 (72)' クエリへの接続です。" type="5" refreshedVersion="8" background="1" saveData="1">
    <dbPr connection="Provider=Microsoft.Mashup.OleDb.1;Data Source=$Workbook$;Location=&quot;Table 3 (72)&quot;;Extended Properties=&quot;&quot;" command="SELECT * FROM [Table 3 (72)]"/>
  </connection>
  <connection id="69" xr16:uid="{BD82E985-EB16-448F-9B80-02E0A82917FB}" keepAlive="1" name="クエリ - Table 3 (73)" description="ブック内の 'Table 3 (73)' クエリへの接続です。" type="5" refreshedVersion="8" background="1" saveData="1">
    <dbPr connection="Provider=Microsoft.Mashup.OleDb.1;Data Source=$Workbook$;Location=&quot;Table 3 (73)&quot;;Extended Properties=&quot;&quot;" command="SELECT * FROM [Table 3 (73)]"/>
  </connection>
  <connection id="70" xr16:uid="{88795861-4768-404F-9CD8-BE4BABEDAB7C}" keepAlive="1" name="クエリ - Table 3 (74)" description="ブック内の 'Table 3 (74)' クエリへの接続です。" type="5" refreshedVersion="8" background="1" saveData="1">
    <dbPr connection="Provider=Microsoft.Mashup.OleDb.1;Data Source=$Workbook$;Location=&quot;Table 3 (74)&quot;;Extended Properties=&quot;&quot;" command="SELECT * FROM [Table 3 (74)]"/>
  </connection>
  <connection id="71" xr16:uid="{8305E397-9ADD-4431-AE59-D9F970D938A7}" keepAlive="1" name="クエリ - Table 3 (75)" description="ブック内の 'Table 3 (75)' クエリへの接続です。" type="5" refreshedVersion="0" background="1">
    <dbPr connection="Provider=Microsoft.Mashup.OleDb.1;Data Source=$Workbook$;Location=&quot;Table 3 (75)&quot;;Extended Properties=&quot;&quot;" command="SELECT * FROM [Table 3 (75)]"/>
  </connection>
  <connection id="72" xr16:uid="{6ECB0029-D7D2-4B83-B3E6-CF749B6B124C}" keepAlive="1" name="クエリ - Table 3 (76)" description="ブック内の 'Table 3 (76)' クエリへの接続です。" type="5" refreshedVersion="8" background="1" saveData="1">
    <dbPr connection="Provider=Microsoft.Mashup.OleDb.1;Data Source=$Workbook$;Location=&quot;Table 3 (76)&quot;;Extended Properties=&quot;&quot;" command="SELECT * FROM [Table 3 (76)]"/>
  </connection>
  <connection id="73" xr16:uid="{4B2808B6-18E7-4A3C-AE71-1679BDC636B2}" keepAlive="1" name="クエリ - Table 3 (77)" description="ブック内の 'Table 3 (77)' クエリへの接続です。" type="5" refreshedVersion="0" background="1">
    <dbPr connection="Provider=Microsoft.Mashup.OleDb.1;Data Source=$Workbook$;Location=&quot;Table 3 (77)&quot;;Extended Properties=&quot;&quot;" command="SELECT * FROM [Table 3 (77)]"/>
  </connection>
  <connection id="74" xr16:uid="{FEEBCF10-25D6-4180-933D-EFF8040962BB}" keepAlive="1" name="クエリ - Table 3 (78)" description="ブック内の 'Table 3 (78)' クエリへの接続です。" type="5" refreshedVersion="8" background="1" saveData="1">
    <dbPr connection="Provider=Microsoft.Mashup.OleDb.1;Data Source=$Workbook$;Location=&quot;Table 3 (78)&quot;;Extended Properties=&quot;&quot;" command="SELECT * FROM [Table 3 (78)]"/>
  </connection>
  <connection id="75" xr16:uid="{8CD6D0C9-495E-4ABA-B561-19D254C678A4}" keepAlive="1" name="クエリ - Table 3 (79)" description="ブック内の 'Table 3 (79)' クエリへの接続です。" type="5" refreshedVersion="8" background="1" saveData="1">
    <dbPr connection="Provider=Microsoft.Mashup.OleDb.1;Data Source=$Workbook$;Location=&quot;Table 3 (79)&quot;;Extended Properties=&quot;&quot;" command="SELECT * FROM [Table 3 (79)]"/>
  </connection>
  <connection id="76" xr16:uid="{00000000-0015-0000-FFFF-FFFF0C000000}" keepAlive="1" name="クエリ - Table 3 (8)" description="ブック内の 'Table 3 (8)' クエリへの接続です。" type="5" refreshedVersion="8" background="1" saveData="1">
    <dbPr connection="Provider=Microsoft.Mashup.OleDb.1;Data Source=$Workbook$;Location=&quot;Table 3 (8)&quot;;Extended Properties=&quot;&quot;" command="SELECT * FROM [Table 3 (8)]"/>
  </connection>
  <connection id="77" xr16:uid="{C9EC232A-D1C2-4573-8DDA-AAB85115219B}" keepAlive="1" name="クエリ - Table 3 (80)" description="ブック内の 'Table 3 (80)' クエリへの接続です。" type="5" refreshedVersion="8" background="1" saveData="1">
    <dbPr connection="Provider=Microsoft.Mashup.OleDb.1;Data Source=$Workbook$;Location=&quot;Table 3 (80)&quot;;Extended Properties=&quot;&quot;" command="SELECT * FROM [Table 3 (80)]"/>
  </connection>
  <connection id="78" xr16:uid="{00000000-0015-0000-FFFF-FFFF0D000000}" keepAlive="1" name="クエリ - Table 3 (9)" description="ブック内の 'Table 3 (9)' クエリへの接続です。" type="5" refreshedVersion="0" background="1">
    <dbPr connection="Provider=Microsoft.Mashup.OleDb.1;Data Source=$Workbook$;Location=&quot;Table 3 (9)&quot;;Extended Properties=&quot;&quot;" command="SELECT * FROM [Table 3 (9)]"/>
  </connection>
  <connection id="79" xr16:uid="{4005F21F-CBFE-45CD-917B-2A149EB46346}" keepAlive="1" name="クエリ - テーブル 5" description="ブック内の 'テーブル 5' クエリへの接続です。" type="5" refreshedVersion="8" background="1" saveData="1">
    <dbPr connection="Provider=Microsoft.Mashup.OleDb.1;Data Source=$Workbook$;Location=&quot;テーブル 5&quot;;Extended Properties=&quot;&quot;" command="SELECT * FROM [テーブル 5]"/>
  </connection>
  <connection id="80" xr16:uid="{26F84E0A-2BC1-4657-927E-D1C020CF38C5}" keepAlive="1" name="クエリ - テーブル 5 (10)" description="ブック内の 'テーブル 5 (10)' クエリへの接続です。" type="5" refreshedVersion="8" background="1" saveData="1">
    <dbPr connection="Provider=Microsoft.Mashup.OleDb.1;Data Source=$Workbook$;Location=&quot;テーブル 5 (10)&quot;;Extended Properties=&quot;&quot;" command="SELECT * FROM [テーブル 5 (10)]"/>
  </connection>
  <connection id="81" xr16:uid="{5ABDF216-6D52-4542-A11F-70448CE407E0}" keepAlive="1" name="クエリ - テーブル 5 (11)" description="ブック内の 'テーブル 5 (11)' クエリへの接続です。" type="5" refreshedVersion="0" background="1">
    <dbPr connection="Provider=Microsoft.Mashup.OleDb.1;Data Source=$Workbook$;Location=&quot;テーブル 5 (11)&quot;;Extended Properties=&quot;&quot;" command="SELECT * FROM [テーブル 5 (11)]"/>
  </connection>
  <connection id="82" xr16:uid="{56DF7559-F31D-45FE-AC4A-A282EF63CCC2}" keepAlive="1" name="クエリ - テーブル 5 (12)" description="ブック内の 'テーブル 5 (12)' クエリへの接続です。" type="5" refreshedVersion="8" background="1" saveData="1">
    <dbPr connection="Provider=Microsoft.Mashup.OleDb.1;Data Source=$Workbook$;Location=&quot;テーブル 5 (12)&quot;;Extended Properties=&quot;&quot;" command="SELECT * FROM [テーブル 5 (12)]"/>
  </connection>
  <connection id="83" xr16:uid="{AFB6CB50-54F7-4C28-ABE3-DDC509A650DB}" keepAlive="1" name="クエリ - テーブル 5 (13)" description="ブック内の 'テーブル 5 (13)' クエリへの接続です。" type="5" refreshedVersion="8" background="1" saveData="1">
    <dbPr connection="Provider=Microsoft.Mashup.OleDb.1;Data Source=$Workbook$;Location=&quot;テーブル 5 (13)&quot;;Extended Properties=&quot;&quot;" command="SELECT * FROM [テーブル 5 (13)]"/>
  </connection>
  <connection id="84" xr16:uid="{9ABB352C-0CCD-4E59-B88E-02E96DE307EE}" keepAlive="1" name="クエリ - テーブル 5 (14)" description="ブック内の 'テーブル 5 (14)' クエリへの接続です。" type="5" refreshedVersion="8" background="1" saveData="1">
    <dbPr connection="Provider=Microsoft.Mashup.OleDb.1;Data Source=$Workbook$;Location=&quot;テーブル 5 (14)&quot;;Extended Properties=&quot;&quot;" command="SELECT * FROM [テーブル 5 (14)]"/>
  </connection>
  <connection id="85" xr16:uid="{9CC89927-069A-4C2A-ADC9-326F77EB1429}" keepAlive="1" name="クエリ - テーブル 5 (15)" description="ブック内の 'テーブル 5 (15)' クエリへの接続です。" type="5" refreshedVersion="0" background="1">
    <dbPr connection="Provider=Microsoft.Mashup.OleDb.1;Data Source=$Workbook$;Location=&quot;テーブル 5 (15)&quot;;Extended Properties=&quot;&quot;" command="SELECT * FROM [テーブル 5 (15)]"/>
  </connection>
  <connection id="86" xr16:uid="{93E48093-F915-4882-BAC3-C964F603F1C7}" keepAlive="1" name="クエリ - テーブル 5 (16)" description="ブック内の 'テーブル 5 (16)' クエリへの接続です。" type="5" refreshedVersion="8" background="1" saveData="1">
    <dbPr connection="Provider=Microsoft.Mashup.OleDb.1;Data Source=$Workbook$;Location=&quot;テーブル 5 (16)&quot;;Extended Properties=&quot;&quot;" command="SELECT * FROM [テーブル 5 (16)]"/>
  </connection>
  <connection id="87" xr16:uid="{B31EBC3B-614B-4885-A0E6-3E57C6664771}" keepAlive="1" name="クエリ - テーブル 5 (17)" description="ブック内の 'テーブル 5 (17)' クエリへの接続です。" type="5" refreshedVersion="8" background="1" saveData="1">
    <dbPr connection="Provider=Microsoft.Mashup.OleDb.1;Data Source=$Workbook$;Location=&quot;テーブル 5 (17)&quot;;Extended Properties=&quot;&quot;" command="SELECT * FROM [テーブル 5 (17)]"/>
  </connection>
  <connection id="88" xr16:uid="{7960DE4F-875B-408F-993F-40DB66B61398}" keepAlive="1" name="クエリ - テーブル 5 (18)" description="ブック内の 'テーブル 5 (18)' クエリへの接続です。" type="5" refreshedVersion="8" background="1" saveData="1">
    <dbPr connection="Provider=Microsoft.Mashup.OleDb.1;Data Source=$Workbook$;Location=&quot;テーブル 5 (18)&quot;;Extended Properties=&quot;&quot;" command="SELECT * FROM [テーブル 5 (18)]"/>
  </connection>
  <connection id="89" xr16:uid="{C8E55768-5433-4125-ADA9-8535EF84ECED}" keepAlive="1" name="クエリ - テーブル 5 (19)" description="ブック内の 'テーブル 5 (19)' クエリへの接続です。" type="5" refreshedVersion="0" background="1">
    <dbPr connection="Provider=Microsoft.Mashup.OleDb.1;Data Source=$Workbook$;Location=&quot;テーブル 5 (19)&quot;;Extended Properties=&quot;&quot;" command="SELECT * FROM [テーブル 5 (19)]"/>
  </connection>
  <connection id="90" xr16:uid="{DF72AB92-0560-4939-B906-6C6A070C3B1D}" keepAlive="1" name="クエリ - テーブル 5 (2)" description="ブック内の 'テーブル 5 (2)' クエリへの接続です。" type="5" refreshedVersion="8" background="1" saveData="1">
    <dbPr connection="Provider=Microsoft.Mashup.OleDb.1;Data Source=$Workbook$;Location=&quot;テーブル 5 (2)&quot;;Extended Properties=&quot;&quot;" command="SELECT * FROM [テーブル 5 (2)]"/>
  </connection>
  <connection id="91" xr16:uid="{79F63E29-B41C-4785-B5C8-39BE2C61A022}" keepAlive="1" name="クエリ - テーブル 5 (20)" description="ブック内の 'テーブル 5 (20)' クエリへの接続です。" type="5" refreshedVersion="8" background="1" saveData="1">
    <dbPr connection="Provider=Microsoft.Mashup.OleDb.1;Data Source=$Workbook$;Location=&quot;テーブル 5 (20)&quot;;Extended Properties=&quot;&quot;" command="SELECT * FROM [テーブル 5 (20)]"/>
  </connection>
  <connection id="92" xr16:uid="{C5F0CE8E-5236-4C12-9938-A5A579A166BD}" keepAlive="1" name="クエリ - テーブル 5 (21)" description="ブック内の 'テーブル 5 (21)' クエリへの接続です。" type="5" refreshedVersion="8" background="1" saveData="1">
    <dbPr connection="Provider=Microsoft.Mashup.OleDb.1;Data Source=$Workbook$;Location=&quot;テーブル 5 (21)&quot;;Extended Properties=&quot;&quot;" command="SELECT * FROM [テーブル 5 (21)]"/>
  </connection>
  <connection id="93" xr16:uid="{A0703D91-F949-43E0-AAEB-CCBE3165516D}" keepAlive="1" name="クエリ - テーブル 5 (22)" description="ブック内の 'テーブル 5 (22)' クエリへの接続です。" type="5" refreshedVersion="8" background="1" saveData="1">
    <dbPr connection="Provider=Microsoft.Mashup.OleDb.1;Data Source=$Workbook$;Location=&quot;テーブル 5 (22)&quot;;Extended Properties=&quot;&quot;" command="SELECT * FROM [テーブル 5 (22)]"/>
  </connection>
  <connection id="94" xr16:uid="{46CD58C3-08F0-4E49-AA61-AB7949C5757F}" keepAlive="1" name="クエリ - テーブル 5 (23)" description="ブック内の 'テーブル 5 (23)' クエリへの接続です。" type="5" refreshedVersion="8" background="1" saveData="1">
    <dbPr connection="Provider=Microsoft.Mashup.OleDb.1;Data Source=$Workbook$;Location=&quot;テーブル 5 (23)&quot;;Extended Properties=&quot;&quot;" command="SELECT * FROM [テーブル 5 (23)]"/>
  </connection>
  <connection id="95" xr16:uid="{6FDBFA2F-ADFC-440E-976E-EB765D94B592}" keepAlive="1" name="クエリ - テーブル 5 (24)" description="ブック内の 'テーブル 5 (24)' クエリへの接続です。" type="5" refreshedVersion="8" background="1" saveData="1">
    <dbPr connection="Provider=Microsoft.Mashup.OleDb.1;Data Source=$Workbook$;Location=&quot;テーブル 5 (24)&quot;;Extended Properties=&quot;&quot;" command="SELECT * FROM [テーブル 5 (24)]"/>
  </connection>
  <connection id="96" xr16:uid="{D94BC252-1638-42E3-A1D3-7C4861AFC728}" keepAlive="1" name="クエリ - テーブル 5 (25)" description="ブック内の 'テーブル 5 (25)' クエリへの接続です。" type="5" refreshedVersion="8" background="1" saveData="1">
    <dbPr connection="Provider=Microsoft.Mashup.OleDb.1;Data Source=$Workbook$;Location=&quot;テーブル 5 (25)&quot;;Extended Properties=&quot;&quot;" command="SELECT * FROM [テーブル 5 (25)]"/>
  </connection>
  <connection id="97" xr16:uid="{13639DD2-86CB-4DA2-8DB0-7B58FC1A2F22}" keepAlive="1" name="クエリ - テーブル 5 (26)" description="ブック内の 'テーブル 5 (26)' クエリへの接続です。" type="5" refreshedVersion="8" background="1" saveData="1">
    <dbPr connection="Provider=Microsoft.Mashup.OleDb.1;Data Source=$Workbook$;Location=&quot;テーブル 5 (26)&quot;;Extended Properties=&quot;&quot;" command="SELECT * FROM [テーブル 5 (26)]"/>
  </connection>
  <connection id="98" xr16:uid="{1203CF8E-8C42-432E-BFC6-53B97B3F0E37}" keepAlive="1" name="クエリ - テーブル 5 (27)" description="ブック内の 'テーブル 5 (27)' クエリへの接続です。" type="5" refreshedVersion="8" background="1" saveData="1">
    <dbPr connection="Provider=Microsoft.Mashup.OleDb.1;Data Source=$Workbook$;Location=&quot;テーブル 5 (27)&quot;;Extended Properties=&quot;&quot;" command="SELECT * FROM [テーブル 5 (27)]"/>
  </connection>
  <connection id="99" xr16:uid="{A16F3CEE-F1A8-48A9-A95E-0B697CBC8247}" keepAlive="1" name="クエリ - テーブル 5 (28)" description="ブック内の 'テーブル 5 (28)' クエリへの接続です。" type="5" refreshedVersion="8" background="1" saveData="1">
    <dbPr connection="Provider=Microsoft.Mashup.OleDb.1;Data Source=$Workbook$;Location=&quot;テーブル 5 (28)&quot;;Extended Properties=&quot;&quot;" command="SELECT * FROM [テーブル 5 (28)]"/>
  </connection>
  <connection id="100" xr16:uid="{B910D808-16D2-4ADB-A270-37C34675767A}" keepAlive="1" name="クエリ - テーブル 5 (29)" description="ブック内の 'テーブル 5 (29)' クエリへの接続です。" type="5" refreshedVersion="8" background="1" saveData="1">
    <dbPr connection="Provider=Microsoft.Mashup.OleDb.1;Data Source=$Workbook$;Location=&quot;テーブル 5 (29)&quot;;Extended Properties=&quot;&quot;" command="SELECT * FROM [テーブル 5 (29)]"/>
  </connection>
  <connection id="101" xr16:uid="{D837CAA7-E833-46E1-810D-98B4937DDDE4}" keepAlive="1" name="クエリ - テーブル 5 (3)" description="ブック内の 'テーブル 5 (3)' クエリへの接続です。" type="5" refreshedVersion="0" background="1">
    <dbPr connection="Provider=Microsoft.Mashup.OleDb.1;Data Source=$Workbook$;Location=&quot;テーブル 5 (3)&quot;;Extended Properties=&quot;&quot;" command="SELECT * FROM [テーブル 5 (3)]"/>
  </connection>
  <connection id="102" xr16:uid="{36BEAD91-F848-4936-AB7D-D6A481BC8093}" keepAlive="1" name="クエリ - テーブル 5 (30)" description="ブック内の 'テーブル 5 (30)' クエリへの接続です。" type="5" refreshedVersion="8" background="1" saveData="1">
    <dbPr connection="Provider=Microsoft.Mashup.OleDb.1;Data Source=$Workbook$;Location=&quot;テーブル 5 (30)&quot;;Extended Properties=&quot;&quot;" command="SELECT * FROM [テーブル 5 (30)]"/>
  </connection>
  <connection id="103" xr16:uid="{74028095-084D-406A-9D5E-39FC61FBC8F0}" keepAlive="1" name="クエリ - テーブル 5 (31)" description="ブック内の 'テーブル 5 (31)' クエリへの接続です。" type="5" refreshedVersion="8" background="1" saveData="1">
    <dbPr connection="Provider=Microsoft.Mashup.OleDb.1;Data Source=$Workbook$;Location=&quot;テーブル 5 (31)&quot;;Extended Properties=&quot;&quot;" command="SELECT * FROM [テーブル 5 (31)]"/>
  </connection>
  <connection id="104" xr16:uid="{BAEA1A37-99AF-4469-B30B-45FBFFC0CC86}" keepAlive="1" name="クエリ - テーブル 5 (32)" description="ブック内の 'テーブル 5 (32)' クエリへの接続です。" type="5" refreshedVersion="8" background="1" saveData="1">
    <dbPr connection="Provider=Microsoft.Mashup.OleDb.1;Data Source=$Workbook$;Location=&quot;テーブル 5 (32)&quot;;Extended Properties=&quot;&quot;" command="SELECT * FROM [テーブル 5 (32)]"/>
  </connection>
  <connection id="105" xr16:uid="{7CCE002F-9BAA-44CB-994B-57B846DA9E21}" keepAlive="1" name="クエリ - テーブル 5 (33)" description="ブック内の 'テーブル 5 (33)' クエリへの接続です。" type="5" refreshedVersion="8" background="1" saveData="1">
    <dbPr connection="Provider=Microsoft.Mashup.OleDb.1;Data Source=$Workbook$;Location=&quot;テーブル 5 (33)&quot;;Extended Properties=&quot;&quot;" command="SELECT * FROM [テーブル 5 (33)]"/>
  </connection>
  <connection id="106" xr16:uid="{6544EA70-0EDD-438B-86F8-77B08B50DE06}" keepAlive="1" name="クエリ - テーブル 5 (34)" description="ブック内の 'テーブル 5 (34)' クエリへの接続です。" type="5" refreshedVersion="8" background="1" saveData="1">
    <dbPr connection="Provider=Microsoft.Mashup.OleDb.1;Data Source=$Workbook$;Location=&quot;テーブル 5 (34)&quot;;Extended Properties=&quot;&quot;" command="SELECT * FROM [テーブル 5 (34)]"/>
  </connection>
  <connection id="107" xr16:uid="{F2FCEC10-3FD7-4126-A895-B61E1FEBB0BB}" keepAlive="1" name="クエリ - テーブル 5 (35)" description="ブック内の 'テーブル 5 (35)' クエリへの接続です。" type="5" refreshedVersion="8" background="1" saveData="1">
    <dbPr connection="Provider=Microsoft.Mashup.OleDb.1;Data Source=$Workbook$;Location=&quot;テーブル 5 (35)&quot;;Extended Properties=&quot;&quot;" command="SELECT * FROM [テーブル 5 (35)]"/>
  </connection>
  <connection id="108" xr16:uid="{7EA25496-C4A6-444D-B133-112FF16EF028}" keepAlive="1" name="クエリ - テーブル 5 (36)" description="ブック内の 'テーブル 5 (36)' クエリへの接続です。" type="5" refreshedVersion="8" background="1" saveData="1">
    <dbPr connection="Provider=Microsoft.Mashup.OleDb.1;Data Source=$Workbook$;Location=&quot;テーブル 5 (36)&quot;;Extended Properties=&quot;&quot;" command="SELECT * FROM [テーブル 5 (36)]"/>
  </connection>
  <connection id="109" xr16:uid="{A31F22B0-CB8E-4530-A9F1-CCB2EE200259}" keepAlive="1" name="クエリ - テーブル 5 (37)" description="ブック内の 'テーブル 5 (37)' クエリへの接続です。" type="5" refreshedVersion="8" background="1" saveData="1">
    <dbPr connection="Provider=Microsoft.Mashup.OleDb.1;Data Source=$Workbook$;Location=&quot;テーブル 5 (37)&quot;;Extended Properties=&quot;&quot;" command="SELECT * FROM [テーブル 5 (37)]"/>
  </connection>
  <connection id="110" xr16:uid="{A5E57733-B48A-4985-B31C-9B6BBF618E08}" keepAlive="1" name="クエリ - テーブル 5 (38)" description="ブック内の 'テーブル 5 (38)' クエリへの接続です。" type="5" refreshedVersion="8" background="1" saveData="1">
    <dbPr connection="Provider=Microsoft.Mashup.OleDb.1;Data Source=$Workbook$;Location=&quot;テーブル 5 (38)&quot;;Extended Properties=&quot;&quot;" command="SELECT * FROM [テーブル 5 (38)]"/>
  </connection>
  <connection id="111" xr16:uid="{54F7DB3E-2D10-46A8-8605-A4B5CD9147C4}" keepAlive="1" name="クエリ - テーブル 5 (39)" description="ブック内の 'テーブル 5 (39)' クエリへの接続です。" type="5" refreshedVersion="8" background="1" saveData="1">
    <dbPr connection="Provider=Microsoft.Mashup.OleDb.1;Data Source=$Workbook$;Location=&quot;テーブル 5 (39)&quot;;Extended Properties=&quot;&quot;" command="SELECT * FROM [テーブル 5 (39)]"/>
  </connection>
  <connection id="112" xr16:uid="{AB12C7AD-25D5-4D0C-B276-24BD37943E4B}" keepAlive="1" name="クエリ - テーブル 5 (4)" description="ブック内の 'テーブル 5 (4)' クエリへの接続です。" type="5" refreshedVersion="8" background="1" saveData="1">
    <dbPr connection="Provider=Microsoft.Mashup.OleDb.1;Data Source=$Workbook$;Location=&quot;テーブル 5 (4)&quot;;Extended Properties=&quot;&quot;" command="SELECT * FROM [テーブル 5 (4)]"/>
  </connection>
  <connection id="113" xr16:uid="{66B53B4B-1358-4775-94DB-3F8C8717C271}" keepAlive="1" name="クエリ - テーブル 5 (40)" description="ブック内の 'テーブル 5 (40)' クエリへの接続です。" type="5" refreshedVersion="8" background="1" saveData="1">
    <dbPr connection="Provider=Microsoft.Mashup.OleDb.1;Data Source=$Workbook$;Location=&quot;テーブル 5 (40)&quot;;Extended Properties=&quot;&quot;" command="SELECT * FROM [テーブル 5 (40)]"/>
  </connection>
  <connection id="114" xr16:uid="{FE8A8A31-47AF-45A0-8FCC-B8275FB8CD7A}" keepAlive="1" name="クエリ - テーブル 5 (41)" description="ブック内の 'テーブル 5 (41)' クエリへの接続です。" type="5" refreshedVersion="8" background="1" saveData="1">
    <dbPr connection="Provider=Microsoft.Mashup.OleDb.1;Data Source=$Workbook$;Location=&quot;テーブル 5 (41)&quot;;Extended Properties=&quot;&quot;" command="SELECT * FROM [テーブル 5 (41)]"/>
  </connection>
  <connection id="115" xr16:uid="{579514D7-861A-4725-94F9-BF6706ACBB0F}" keepAlive="1" name="クエリ - テーブル 5 (42)" description="ブック内の 'テーブル 5 (42)' クエリへの接続です。" type="5" refreshedVersion="8" background="1" saveData="1">
    <dbPr connection="Provider=Microsoft.Mashup.OleDb.1;Data Source=$Workbook$;Location=&quot;テーブル 5 (42)&quot;;Extended Properties=&quot;&quot;" command="SELECT * FROM [テーブル 5 (42)]"/>
  </connection>
  <connection id="116" xr16:uid="{80502BDE-E486-474D-BEE2-A2BC8D82A4E5}" keepAlive="1" name="クエリ - テーブル 5 (43)" description="ブック内の 'テーブル 5 (43)' クエリへの接続です。" type="5" refreshedVersion="8" background="1" saveData="1">
    <dbPr connection="Provider=Microsoft.Mashup.OleDb.1;Data Source=$Workbook$;Location=&quot;テーブル 5 (43)&quot;;Extended Properties=&quot;&quot;" command="SELECT * FROM [テーブル 5 (43)]"/>
  </connection>
  <connection id="117" xr16:uid="{615EFAC7-08F8-41A8-9E2C-4F8FD8C0B0AF}" keepAlive="1" name="クエリ - テーブル 5 (44)" description="ブック内の 'テーブル 5 (44)' クエリへの接続です。" type="5" refreshedVersion="8" background="1" saveData="1">
    <dbPr connection="Provider=Microsoft.Mashup.OleDb.1;Data Source=$Workbook$;Location=&quot;テーブル 5 (44)&quot;;Extended Properties=&quot;&quot;" command="SELECT * FROM [テーブル 5 (44)]"/>
  </connection>
  <connection id="118" xr16:uid="{C305C6DD-5798-4EBD-ADC8-19F8BBA3606D}" keepAlive="1" name="クエリ - テーブル 5 (45)" description="ブック内の 'テーブル 5 (45)' クエリへの接続です。" type="5" refreshedVersion="8" background="1" saveData="1">
    <dbPr connection="Provider=Microsoft.Mashup.OleDb.1;Data Source=$Workbook$;Location=&quot;テーブル 5 (45)&quot;;Extended Properties=&quot;&quot;" command="SELECT * FROM [テーブル 5 (45)]"/>
  </connection>
  <connection id="119" xr16:uid="{3EA631AC-DB01-4DE1-B8E4-8686CE119F6A}" keepAlive="1" name="クエリ - テーブル 5 (46)" description="ブック内の 'テーブル 5 (46)' クエリへの接続です。" type="5" refreshedVersion="8" background="1" saveData="1">
    <dbPr connection="Provider=Microsoft.Mashup.OleDb.1;Data Source=$Workbook$;Location=&quot;テーブル 5 (46)&quot;;Extended Properties=&quot;&quot;" command="SELECT * FROM [テーブル 5 (46)]"/>
  </connection>
  <connection id="120" xr16:uid="{403A85BB-91A5-4963-86C4-BBAB4A28E850}" keepAlive="1" name="クエリ - テーブル 5 (47)" description="ブック内の 'テーブル 5 (47)' クエリへの接続です。" type="5" refreshedVersion="0" background="1">
    <dbPr connection="Provider=Microsoft.Mashup.OleDb.1;Data Source=$Workbook$;Location=&quot;テーブル 5 (47)&quot;;Extended Properties=&quot;&quot;" command="SELECT * FROM [テーブル 5 (47)]"/>
  </connection>
  <connection id="121" xr16:uid="{660E220E-6A38-44EC-B3D0-DA719B2A5AF3}" keepAlive="1" name="クエリ - テーブル 5 (48)" description="ブック内の 'テーブル 5 (48)' クエリへの接続です。" type="5" refreshedVersion="8" background="1" saveData="1">
    <dbPr connection="Provider=Microsoft.Mashup.OleDb.1;Data Source=$Workbook$;Location=&quot;テーブル 5 (48)&quot;;Extended Properties=&quot;&quot;" command="SELECT * FROM [テーブル 5 (48)]"/>
  </connection>
  <connection id="122" xr16:uid="{50DE3435-8F9C-439D-931F-32CDFE206BCB}" keepAlive="1" name="クエリ - テーブル 5 (49)" description="ブック内の 'テーブル 5 (49)' クエリへの接続です。" type="5" refreshedVersion="8" background="1" saveData="1">
    <dbPr connection="Provider=Microsoft.Mashup.OleDb.1;Data Source=$Workbook$;Location=&quot;テーブル 5 (49)&quot;;Extended Properties=&quot;&quot;" command="SELECT * FROM [テーブル 5 (49)]"/>
  </connection>
  <connection id="123" xr16:uid="{1D9DB944-4270-41AA-8EFE-094EF4CEA550}" keepAlive="1" name="クエリ - テーブル 5 (5)" description="ブック内の 'テーブル 5 (5)' クエリへの接続です。" type="5" refreshedVersion="8" background="1" saveData="1">
    <dbPr connection="Provider=Microsoft.Mashup.OleDb.1;Data Source=$Workbook$;Location=&quot;テーブル 5 (5)&quot;;Extended Properties=&quot;&quot;" command="SELECT * FROM [テーブル 5 (5)]"/>
  </connection>
  <connection id="124" xr16:uid="{51680A69-E4C1-4A39-85B7-EFEAFFC9466F}" keepAlive="1" name="クエリ - テーブル 5 (50)" description="ブック内の 'テーブル 5 (50)' クエリへの接続です。" type="5" refreshedVersion="8" background="1" saveData="1">
    <dbPr connection="Provider=Microsoft.Mashup.OleDb.1;Data Source=$Workbook$;Location=&quot;テーブル 5 (50)&quot;;Extended Properties=&quot;&quot;" command="SELECT * FROM [テーブル 5 (50)]"/>
  </connection>
  <connection id="125" xr16:uid="{1D050FEF-9BC3-400B-ABE4-5025A2E1FD88}" keepAlive="1" name="クエリ - テーブル 5 (51)" description="ブック内の 'テーブル 5 (51)' クエリへの接続です。" type="5" refreshedVersion="0" background="1">
    <dbPr connection="Provider=Microsoft.Mashup.OleDb.1;Data Source=$Workbook$;Location=&quot;テーブル 5 (51)&quot;;Extended Properties=&quot;&quot;" command="SELECT * FROM [テーブル 5 (51)]"/>
  </connection>
  <connection id="126" xr16:uid="{04E1DE2C-0F8B-4AA2-B40B-1A5D370B5011}" keepAlive="1" name="クエリ - テーブル 5 (52)" description="ブック内の 'テーブル 5 (52)' クエリへの接続です。" type="5" refreshedVersion="8" background="1" saveData="1">
    <dbPr connection="Provider=Microsoft.Mashup.OleDb.1;Data Source=$Workbook$;Location=&quot;テーブル 5 (52)&quot;;Extended Properties=&quot;&quot;" command="SELECT * FROM [テーブル 5 (52)]"/>
  </connection>
  <connection id="127" xr16:uid="{7A11FE41-E253-43BC-8A00-1C400CA377D1}" keepAlive="1" name="クエリ - テーブル 5 (53)" description="ブック内の 'テーブル 5 (53)' クエリへの接続です。" type="5" refreshedVersion="8" background="1" saveData="1">
    <dbPr connection="Provider=Microsoft.Mashup.OleDb.1;Data Source=$Workbook$;Location=&quot;テーブル 5 (53)&quot;;Extended Properties=&quot;&quot;" command="SELECT * FROM [テーブル 5 (53)]"/>
  </connection>
  <connection id="128" xr16:uid="{5EC92980-5492-4A89-A4A8-9801BC14492C}" keepAlive="1" name="クエリ - テーブル 5 (54)" description="ブック内の 'テーブル 5 (54)' クエリへの接続です。" type="5" refreshedVersion="8" background="1" saveData="1">
    <dbPr connection="Provider=Microsoft.Mashup.OleDb.1;Data Source=$Workbook$;Location=&quot;テーブル 5 (54)&quot;;Extended Properties=&quot;&quot;" command="SELECT * FROM [テーブル 5 (54)]"/>
  </connection>
  <connection id="129" xr16:uid="{4D402CCC-83C9-406F-8C34-4F775E1168DA}" keepAlive="1" name="クエリ - テーブル 5 (55)" description="ブック内の 'テーブル 5 (55)' クエリへの接続です。" type="5" refreshedVersion="8" background="1" saveData="1">
    <dbPr connection="Provider=Microsoft.Mashup.OleDb.1;Data Source=$Workbook$;Location=&quot;テーブル 5 (55)&quot;;Extended Properties=&quot;&quot;" command="SELECT * FROM [テーブル 5 (55)]"/>
  </connection>
  <connection id="130" xr16:uid="{A783859C-FF36-4DD0-8551-D4BB737E4F61}" keepAlive="1" name="クエリ - テーブル 5 (56)" description="ブック内の 'テーブル 5 (56)' クエリへの接続です。" type="5" refreshedVersion="8" background="1" saveData="1">
    <dbPr connection="Provider=Microsoft.Mashup.OleDb.1;Data Source=$Workbook$;Location=&quot;テーブル 5 (56)&quot;;Extended Properties=&quot;&quot;" command="SELECT * FROM [テーブル 5 (56)]"/>
  </connection>
  <connection id="131" xr16:uid="{15E76B00-9305-4741-A2AB-01B6330EAAF2}" keepAlive="1" name="クエリ - テーブル 5 (57)" description="ブック内の 'テーブル 5 (57)' クエリへの接続です。" type="5" refreshedVersion="8" background="1" saveData="1">
    <dbPr connection="Provider=Microsoft.Mashup.OleDb.1;Data Source=$Workbook$;Location=&quot;テーブル 5 (57)&quot;;Extended Properties=&quot;&quot;" command="SELECT * FROM [テーブル 5 (57)]"/>
  </connection>
  <connection id="132" xr16:uid="{F34C8D89-6520-4A3D-9DCC-92CF29A2D2A6}" keepAlive="1" name="クエリ - テーブル 5 (58)" description="ブック内の 'テーブル 5 (58)' クエリへの接続です。" type="5" refreshedVersion="8" background="1" saveData="1">
    <dbPr connection="Provider=Microsoft.Mashup.OleDb.1;Data Source=$Workbook$;Location=&quot;テーブル 5 (58)&quot;;Extended Properties=&quot;&quot;" command="SELECT * FROM [テーブル 5 (58)]"/>
  </connection>
  <connection id="133" xr16:uid="{8E94A45C-00CE-41E1-BC77-0B7DBAC9B2C2}" keepAlive="1" name="クエリ - テーブル 5 (59)" description="ブック内の 'テーブル 5 (59)' クエリへの接続です。" type="5" refreshedVersion="8" background="1" saveData="1">
    <dbPr connection="Provider=Microsoft.Mashup.OleDb.1;Data Source=$Workbook$;Location=&quot;テーブル 5 (59)&quot;;Extended Properties=&quot;&quot;" command="SELECT * FROM [テーブル 5 (59)]"/>
  </connection>
  <connection id="134" xr16:uid="{C132A259-7308-4540-B0B9-8234599F5E7B}" keepAlive="1" name="クエリ - テーブル 5 (6)" description="ブック内の 'テーブル 5 (6)' クエリへの接続です。" type="5" refreshedVersion="8" background="1" saveData="1">
    <dbPr connection="Provider=Microsoft.Mashup.OleDb.1;Data Source=$Workbook$;Location=&quot;テーブル 5 (6)&quot;;Extended Properties=&quot;&quot;" command="SELECT * FROM [テーブル 5 (6)]"/>
  </connection>
  <connection id="135" xr16:uid="{11199990-A322-46C2-A519-29F73E80E0EE}" keepAlive="1" name="クエリ - テーブル 5 (60)" description="ブック内の 'テーブル 5 (60)' クエリへの接続です。" type="5" refreshedVersion="8" background="1" saveData="1">
    <dbPr connection="Provider=Microsoft.Mashup.OleDb.1;Data Source=$Workbook$;Location=&quot;テーブル 5 (60)&quot;;Extended Properties=&quot;&quot;" command="SELECT * FROM [テーブル 5 (60)]"/>
  </connection>
  <connection id="136" xr16:uid="{F402F748-2349-414B-802D-7FDF17E1BFFA}" keepAlive="1" name="クエリ - テーブル 5 (61)" description="ブック内の 'テーブル 5 (61)' クエリへの接続です。" type="5" refreshedVersion="8" background="1" saveData="1">
    <dbPr connection="Provider=Microsoft.Mashup.OleDb.1;Data Source=$Workbook$;Location=&quot;テーブル 5 (61)&quot;;Extended Properties=&quot;&quot;" command="SELECT * FROM [テーブル 5 (61)]"/>
  </connection>
  <connection id="137" xr16:uid="{D0DF5541-C189-427F-987F-D492C0D8AF07}" keepAlive="1" name="クエリ - テーブル 5 (62)" description="ブック内の 'テーブル 5 (62)' クエリへの接続です。" type="5" refreshedVersion="8" background="1" saveData="1">
    <dbPr connection="Provider=Microsoft.Mashup.OleDb.1;Data Source=$Workbook$;Location=&quot;テーブル 5 (62)&quot;;Extended Properties=&quot;&quot;" command="SELECT * FROM [テーブル 5 (62)]"/>
  </connection>
  <connection id="138" xr16:uid="{A9B568BA-7ED4-48D7-ACAB-4C93F8584743}" keepAlive="1" name="クエリ - テーブル 5 (63)" description="ブック内の 'テーブル 5 (63)' クエリへの接続です。" type="5" refreshedVersion="0" background="1">
    <dbPr connection="Provider=Microsoft.Mashup.OleDb.1;Data Source=$Workbook$;Location=&quot;テーブル 5 (63)&quot;;Extended Properties=&quot;&quot;" command="SELECT * FROM [テーブル 5 (63)]"/>
  </connection>
  <connection id="139" xr16:uid="{E8806155-1A53-4387-9215-A077F81B3EA8}" keepAlive="1" name="クエリ - テーブル 5 (64)" description="ブック内の 'テーブル 5 (64)' クエリへの接続です。" type="5" refreshedVersion="8" background="1" saveData="1">
    <dbPr connection="Provider=Microsoft.Mashup.OleDb.1;Data Source=$Workbook$;Location=&quot;テーブル 5 (64)&quot;;Extended Properties=&quot;&quot;" command="SELECT * FROM [テーブル 5 (64)]"/>
  </connection>
  <connection id="140" xr16:uid="{EA53A195-970D-4B24-98FF-F989BAE95881}" keepAlive="1" name="クエリ - テーブル 5 (65)" description="ブック内の 'テーブル 5 (65)' クエリへの接続です。" type="5" refreshedVersion="8" background="1" saveData="1">
    <dbPr connection="Provider=Microsoft.Mashup.OleDb.1;Data Source=$Workbook$;Location=&quot;テーブル 5 (65)&quot;;Extended Properties=&quot;&quot;" command="SELECT * FROM [テーブル 5 (65)]"/>
  </connection>
  <connection id="141" xr16:uid="{B026A762-CDB7-445F-9538-62399460FAE7}" keepAlive="1" name="クエリ - テーブル 5 (66)" description="ブック内の 'テーブル 5 (66)' クエリへの接続です。" type="5" refreshedVersion="8" background="1" saveData="1">
    <dbPr connection="Provider=Microsoft.Mashup.OleDb.1;Data Source=$Workbook$;Location=&quot;テーブル 5 (66)&quot;;Extended Properties=&quot;&quot;" command="SELECT * FROM [テーブル 5 (66)]"/>
  </connection>
  <connection id="142" xr16:uid="{CEC9A435-D0BF-4D3C-B7AE-60A8CB3B26D8}" keepAlive="1" name="クエリ - テーブル 5 (67)" description="ブック内の 'テーブル 5 (67)' クエリへの接続です。" type="5" refreshedVersion="8" background="1" saveData="1">
    <dbPr connection="Provider=Microsoft.Mashup.OleDb.1;Data Source=$Workbook$;Location=&quot;テーブル 5 (67)&quot;;Extended Properties=&quot;&quot;" command="SELECT * FROM [テーブル 5 (67)]"/>
  </connection>
  <connection id="143" xr16:uid="{1310CB73-5935-4ED4-92F0-969D9F6977F0}" keepAlive="1" name="クエリ - テーブル 5 (68)" description="ブック内の 'テーブル 5 (68)' クエリへの接続です。" type="5" refreshedVersion="8" background="1" saveData="1">
    <dbPr connection="Provider=Microsoft.Mashup.OleDb.1;Data Source=$Workbook$;Location=&quot;テーブル 5 (68)&quot;;Extended Properties=&quot;&quot;" command="SELECT * FROM [テーブル 5 (68)]"/>
  </connection>
  <connection id="144" xr16:uid="{67630F53-615F-47F6-8ACF-7DC5F8B7FED2}" keepAlive="1" name="クエリ - テーブル 5 (69)" description="ブック内の 'テーブル 5 (69)' クエリへの接続です。" type="5" refreshedVersion="8" background="1" saveData="1">
    <dbPr connection="Provider=Microsoft.Mashup.OleDb.1;Data Source=$Workbook$;Location=&quot;テーブル 5 (69)&quot;;Extended Properties=&quot;&quot;" command="SELECT * FROM [テーブル 5 (69)]"/>
  </connection>
  <connection id="145" xr16:uid="{00608C06-2B00-4F10-97AD-CDE3B794B7CB}" keepAlive="1" name="クエリ - テーブル 5 (7)" description="ブック内の 'テーブル 5 (7)' クエリへの接続です。" type="5" refreshedVersion="0" background="1">
    <dbPr connection="Provider=Microsoft.Mashup.OleDb.1;Data Source=$Workbook$;Location=&quot;テーブル 5 (7)&quot;;Extended Properties=&quot;&quot;" command="SELECT * FROM [テーブル 5 (7)]"/>
  </connection>
  <connection id="146" xr16:uid="{B1AF6235-A445-4E85-9851-1DC33458ECA3}" keepAlive="1" name="クエリ - テーブル 5 (70)" description="ブック内の 'テーブル 5 (70)' クエリへの接続です。" type="5" refreshedVersion="8" background="1" saveData="1">
    <dbPr connection="Provider=Microsoft.Mashup.OleDb.1;Data Source=$Workbook$;Location=&quot;テーブル 5 (70)&quot;;Extended Properties=&quot;&quot;" command="SELECT * FROM [テーブル 5 (70)]"/>
  </connection>
  <connection id="147" xr16:uid="{11083B9F-7A86-4C8D-8EA3-740D72E29A11}" keepAlive="1" name="クエリ - テーブル 5 (71)" description="ブック内の 'テーブル 5 (71)' クエリへの接続です。" type="5" refreshedVersion="0" background="1">
    <dbPr connection="Provider=Microsoft.Mashup.OleDb.1;Data Source=$Workbook$;Location=&quot;テーブル 5 (71)&quot;;Extended Properties=&quot;&quot;" command="SELECT * FROM [テーブル 5 (71)]"/>
  </connection>
  <connection id="148" xr16:uid="{4DB7AD5A-B418-47B8-9B01-035F877738C0}" keepAlive="1" name="クエリ - テーブル 5 (72)" description="ブック内の 'テーブル 5 (72)' クエリへの接続です。" type="5" refreshedVersion="8" background="1" saveData="1">
    <dbPr connection="Provider=Microsoft.Mashup.OleDb.1;Data Source=$Workbook$;Location=&quot;テーブル 5 (72)&quot;;Extended Properties=&quot;&quot;" command="SELECT * FROM [テーブル 5 (72)]"/>
  </connection>
  <connection id="149" xr16:uid="{9ABBB067-ADB3-4DC4-9351-030E8EA31DFE}" keepAlive="1" name="クエリ - テーブル 5 (73)" description="ブック内の 'テーブル 5 (73)' クエリへの接続です。" type="5" refreshedVersion="8" background="1" saveData="1">
    <dbPr connection="Provider=Microsoft.Mashup.OleDb.1;Data Source=$Workbook$;Location=&quot;テーブル 5 (73)&quot;;Extended Properties=&quot;&quot;" command="SELECT * FROM [テーブル 5 (73)]"/>
  </connection>
  <connection id="150" xr16:uid="{15E9F6A9-3AA5-4C0C-9881-C59BD0FD4DC1}" keepAlive="1" name="クエリ - テーブル 5 (74)" description="ブック内の 'テーブル 5 (74)' クエリへの接続です。" type="5" refreshedVersion="8" background="1" saveData="1">
    <dbPr connection="Provider=Microsoft.Mashup.OleDb.1;Data Source=$Workbook$;Location=&quot;テーブル 5 (74)&quot;;Extended Properties=&quot;&quot;" command="SELECT * FROM [テーブル 5 (74)]"/>
  </connection>
  <connection id="151" xr16:uid="{F0250E8D-4A68-4C6D-BEEE-6A79E5488BFD}" keepAlive="1" name="クエリ - テーブル 5 (75)" description="ブック内の 'テーブル 5 (75)' クエリへの接続です。" type="5" refreshedVersion="0" background="1">
    <dbPr connection="Provider=Microsoft.Mashup.OleDb.1;Data Source=$Workbook$;Location=&quot;テーブル 5 (75)&quot;;Extended Properties=&quot;&quot;" command="SELECT * FROM [テーブル 5 (75)]"/>
  </connection>
  <connection id="152" xr16:uid="{7603C545-7110-442E-A944-C950C2A962A6}" keepAlive="1" name="クエリ - テーブル 5 (76)" description="ブック内の 'テーブル 5 (76)' クエリへの接続です。" type="5" refreshedVersion="8" background="1" saveData="1">
    <dbPr connection="Provider=Microsoft.Mashup.OleDb.1;Data Source=$Workbook$;Location=&quot;テーブル 5 (76)&quot;;Extended Properties=&quot;&quot;" command="SELECT * FROM [テーブル 5 (76)]"/>
  </connection>
  <connection id="153" xr16:uid="{3F7CC578-1E46-42D8-ADCA-ACAA3B42ED93}" keepAlive="1" name="クエリ - テーブル 5 (77)" description="ブック内の 'テーブル 5 (77)' クエリへの接続です。" type="5" refreshedVersion="8" background="1" saveData="1">
    <dbPr connection="Provider=Microsoft.Mashup.OleDb.1;Data Source=$Workbook$;Location=&quot;テーブル 5 (77)&quot;;Extended Properties=&quot;&quot;" command="SELECT * FROM [テーブル 5 (77)]"/>
  </connection>
  <connection id="154" xr16:uid="{374AE247-1DB4-40CE-A720-AD2A5E2AA29C}" keepAlive="1" name="クエリ - テーブル 5 (78)" description="ブック内の 'テーブル 5 (78)' クエリへの接続です。" type="5" refreshedVersion="8" background="1" saveData="1">
    <dbPr connection="Provider=Microsoft.Mashup.OleDb.1;Data Source=$Workbook$;Location=&quot;テーブル 5 (78)&quot;;Extended Properties=&quot;&quot;" command="SELECT * FROM [テーブル 5 (78)]"/>
  </connection>
  <connection id="155" xr16:uid="{369560D6-2AB8-4192-87BF-D6A075B7A590}" keepAlive="1" name="クエリ - テーブル 5 (79)" description="ブック内の 'テーブル 5 (79)' クエリへの接続です。" type="5" refreshedVersion="8" background="1" saveData="1">
    <dbPr connection="Provider=Microsoft.Mashup.OleDb.1;Data Source=$Workbook$;Location=&quot;テーブル 5 (79)&quot;;Extended Properties=&quot;&quot;" command="SELECT * FROM [テーブル 5 (79)]"/>
  </connection>
  <connection id="156" xr16:uid="{C5162D1F-3C13-47F3-99A8-D69F0D404C31}" keepAlive="1" name="クエリ - テーブル 5 (8)" description="ブック内の 'テーブル 5 (8)' クエリへの接続です。" type="5" refreshedVersion="8" background="1" saveData="1">
    <dbPr connection="Provider=Microsoft.Mashup.OleDb.1;Data Source=$Workbook$;Location=&quot;テーブル 5 (8)&quot;;Extended Properties=&quot;&quot;" command="SELECT * FROM [テーブル 5 (8)]"/>
  </connection>
  <connection id="157" xr16:uid="{1C4BC1A3-CF05-47AF-8EAB-2DC266D46C01}" keepAlive="1" name="クエリ - テーブル 5 (80)" description="ブック内の 'テーブル 5 (80)' クエリへの接続です。" type="5" refreshedVersion="8" background="1" saveData="1">
    <dbPr connection="Provider=Microsoft.Mashup.OleDb.1;Data Source=$Workbook$;Location=&quot;テーブル 5 (80)&quot;;Extended Properties=&quot;&quot;" command="SELECT * FROM [テーブル 5 (80)]"/>
  </connection>
  <connection id="158" xr16:uid="{229AD050-8164-49DA-83D4-829246EC27F1}" keepAlive="1" name="クエリ - テーブル 5 (81)" description="ブック内の 'テーブル 5 (81)' クエリへの接続です。" type="5" refreshedVersion="8" background="1" saveData="1">
    <dbPr connection="Provider=Microsoft.Mashup.OleDb.1;Data Source=$Workbook$;Location=&quot;テーブル 5 (81)&quot;;Extended Properties=&quot;&quot;" command="SELECT * FROM [テーブル 5 (81)]"/>
  </connection>
  <connection id="159" xr16:uid="{4EBAE136-702A-4021-8289-22F27A93E08F}" keepAlive="1" name="クエリ - テーブル 5 (82)" description="ブック内の 'テーブル 5 (82)' クエリへの接続です。" type="5" refreshedVersion="8" background="1" saveData="1">
    <dbPr connection="Provider=Microsoft.Mashup.OleDb.1;Data Source=$Workbook$;Location=&quot;テーブル 5 (82)&quot;;Extended Properties=&quot;&quot;" command="SELECT * FROM [テーブル 5 (82)]"/>
  </connection>
  <connection id="160" xr16:uid="{468B3505-0578-45BD-B7C5-3E3853D5808C}" keepAlive="1" name="クエリ - テーブル 5 (83)" description="ブック内の 'テーブル 5 (83)' クエリへの接続です。" type="5" refreshedVersion="8" background="1" saveData="1">
    <dbPr connection="Provider=Microsoft.Mashup.OleDb.1;Data Source=$Workbook$;Location=&quot;テーブル 5 (83)&quot;;Extended Properties=&quot;&quot;" command="SELECT * FROM [テーブル 5 (83)]"/>
  </connection>
  <connection id="161" xr16:uid="{A5011E8F-F905-4256-8294-33889EB58357}" keepAlive="1" name="クエリ - テーブル 5 (84)" description="ブック内の 'テーブル 5 (84)' クエリへの接続です。" type="5" refreshedVersion="8" background="1" saveData="1">
    <dbPr connection="Provider=Microsoft.Mashup.OleDb.1;Data Source=$Workbook$;Location=&quot;テーブル 5 (84)&quot;;Extended Properties=&quot;&quot;" command="SELECT * FROM [テーブル 5 (84)]"/>
  </connection>
  <connection id="162" xr16:uid="{CAB5ECC6-950E-4478-88D6-1C9026B8B5F1}" keepAlive="1" name="クエリ - テーブル 5 (85)" description="ブック内の 'テーブル 5 (85)' クエリへの接続です。" type="5" refreshedVersion="8" background="1" saveData="1">
    <dbPr connection="Provider=Microsoft.Mashup.OleDb.1;Data Source=$Workbook$;Location=&quot;テーブル 5 (85)&quot;;Extended Properties=&quot;&quot;" command="SELECT * FROM [テーブル 5 (85)]"/>
  </connection>
  <connection id="163" xr16:uid="{79753507-8B86-48CF-A39B-BC8907DC6177}" keepAlive="1" name="クエリ - テーブル 5 (86)" description="ブック内の 'テーブル 5 (86)' クエリへの接続です。" type="5" refreshedVersion="8" background="1" saveData="1">
    <dbPr connection="Provider=Microsoft.Mashup.OleDb.1;Data Source=$Workbook$;Location=&quot;テーブル 5 (86)&quot;;Extended Properties=&quot;&quot;" command="SELECT * FROM [テーブル 5 (86)]"/>
  </connection>
  <connection id="164" xr16:uid="{51E24E1F-2DA9-4D17-ABA5-F450AFDAA74B}" keepAlive="1" name="クエリ - テーブル 5 (87)" description="ブック内の 'テーブル 5 (87)' クエリへの接続です。" type="5" refreshedVersion="8" background="1" saveData="1">
    <dbPr connection="Provider=Microsoft.Mashup.OleDb.1;Data Source=$Workbook$;Location=&quot;テーブル 5 (87)&quot;;Extended Properties=&quot;&quot;" command="SELECT * FROM [テーブル 5 (87)]"/>
  </connection>
  <connection id="165" xr16:uid="{DB4C105A-63FF-4F8B-9BC2-F5FFCCD8F744}" keepAlive="1" name="クエリ - テーブル 5 (88)" description="ブック内の 'テーブル 5 (88)' クエリへの接続です。" type="5" refreshedVersion="8" background="1" saveData="1">
    <dbPr connection="Provider=Microsoft.Mashup.OleDb.1;Data Source=$Workbook$;Location=&quot;テーブル 5 (88)&quot;;Extended Properties=&quot;&quot;" command="SELECT * FROM [テーブル 5 (88)]"/>
  </connection>
  <connection id="166" xr16:uid="{79FEB04E-2966-400E-90C2-BE7F46D96586}" keepAlive="1" name="クエリ - テーブル 5 (89)" description="ブック内の 'テーブル 5 (89)' クエリへの接続です。" type="5" refreshedVersion="8" background="1" saveData="1">
    <dbPr connection="Provider=Microsoft.Mashup.OleDb.1;Data Source=$Workbook$;Location=&quot;テーブル 5 (89)&quot;;Extended Properties=&quot;&quot;" command="SELECT * FROM [テーブル 5 (89)]"/>
  </connection>
  <connection id="167" xr16:uid="{2F76004B-5DDB-4D95-A2BA-56750AE269FA}" keepAlive="1" name="クエリ - テーブル 5 (9)" description="ブック内の 'テーブル 5 (9)' クエリへの接続です。" type="5" refreshedVersion="8" background="1" saveData="1">
    <dbPr connection="Provider=Microsoft.Mashup.OleDb.1;Data Source=$Workbook$;Location=&quot;テーブル 5 (9)&quot;;Extended Properties=&quot;&quot;" command="SELECT * FROM [テーブル 5 (9)]"/>
  </connection>
  <connection id="168" xr16:uid="{216E639C-9CA3-488A-9BAF-6E925A7E351F}" keepAlive="1" name="クエリ - テーブル 5 (90)" description="ブック内の 'テーブル 5 (90)' クエリへの接続です。" type="5" refreshedVersion="8" background="1" saveData="1">
    <dbPr connection="Provider=Microsoft.Mashup.OleDb.1;Data Source=$Workbook$;Location=&quot;テーブル 5 (90)&quot;;Extended Properties=&quot;&quot;" command="SELECT * FROM [テーブル 5 (90)]"/>
  </connection>
  <connection id="169" xr16:uid="{E6A35D59-60B3-49B3-AF49-E8EFFE8D94A0}" keepAlive="1" name="クエリ - テーブル 5 (91)" description="ブック内の 'テーブル 5 (91)' クエリへの接続です。" type="5" refreshedVersion="8" background="1" saveData="1">
    <dbPr connection="Provider=Microsoft.Mashup.OleDb.1;Data Source=$Workbook$;Location=&quot;テーブル 5 (91)&quot;;Extended Properties=&quot;&quot;" command="SELECT * FROM [テーブル 5 (91)]"/>
  </connection>
  <connection id="170" xr16:uid="{DA741BCF-1715-4E66-A6CD-B5110C003A17}" keepAlive="1" name="クエリ - テーブル 5 (92)" description="ブック内の 'テーブル 5 (92)' クエリへの接続です。" type="5" refreshedVersion="8" background="1" saveData="1">
    <dbPr connection="Provider=Microsoft.Mashup.OleDb.1;Data Source=$Workbook$;Location=&quot;テーブル 5 (92)&quot;;Extended Properties=&quot;&quot;" command="SELECT * FROM [テーブル 5 (92)]"/>
  </connection>
  <connection id="171" xr16:uid="{1595ADED-D601-400E-AE27-DF14B3A0AD6B}" keepAlive="1" name="クエリ - テーブル 5 (93)" description="ブック内の 'テーブル 5 (93)' クエリへの接続です。" type="5" refreshedVersion="8" background="1" saveData="1">
    <dbPr connection="Provider=Microsoft.Mashup.OleDb.1;Data Source=$Workbook$;Location=&quot;テーブル 5 (93)&quot;;Extended Properties=&quot;&quot;" command="SELECT * FROM [テーブル 5 (93)]"/>
  </connection>
  <connection id="172" xr16:uid="{B0B14C33-D428-4945-86E0-E4D241E392D9}" keepAlive="1" name="クエリ - テーブル 5 (94)" description="ブック内の 'テーブル 5 (94)' クエリへの接続です。" type="5" refreshedVersion="8" background="1" saveData="1">
    <dbPr connection="Provider=Microsoft.Mashup.OleDb.1;Data Source=$Workbook$;Location=&quot;テーブル 5 (94)&quot;;Extended Properties=&quot;&quot;" command="SELECT * FROM [テーブル 5 (94)]"/>
  </connection>
  <connection id="173" xr16:uid="{882E97F6-85E1-4ED7-849D-0E410430E209}" keepAlive="1" name="クエリ - テーブル 5 (95)" description="ブック内の 'テーブル 5 (95)' クエリへの接続です。" type="5" refreshedVersion="8" background="1" saveData="1">
    <dbPr connection="Provider=Microsoft.Mashup.OleDb.1;Data Source=$Workbook$;Location=&quot;テーブル 5 (95)&quot;;Extended Properties=&quot;&quot;" command="SELECT * FROM [テーブル 5 (95)]"/>
  </connection>
</connections>
</file>

<file path=xl/sharedStrings.xml><?xml version="1.0" encoding="utf-8"?>
<sst xmlns="http://schemas.openxmlformats.org/spreadsheetml/2006/main" count="440" uniqueCount="140">
  <si>
    <t>|</t>
    <phoneticPr fontId="1"/>
  </si>
  <si>
    <t xml:space="preserve"> --- </t>
    <phoneticPr fontId="1"/>
  </si>
  <si>
    <t xml:space="preserve"> ----- </t>
    <phoneticPr fontId="1"/>
  </si>
  <si>
    <t>Composer</t>
  </si>
  <si>
    <t>Title</t>
  </si>
  <si>
    <t>Time</t>
  </si>
  <si>
    <t>Performer</t>
  </si>
  <si>
    <t>Column1</t>
  </si>
  <si>
    <t>Midnight</t>
  </si>
  <si>
    <t>Bastian Langeb?k / Jordan Thomas / Kiah Victoria / Andrew Wansel / Jessie
                  Ware</t>
  </si>
  <si>
    <t>Jessie Ware</t>
  </si>
  <si>
    <t>Thinking About You</t>
  </si>
  <si>
    <t>Thomas Hull / Jessie Ware</t>
  </si>
  <si>
    <t>Stay Awake, Wait for Me</t>
  </si>
  <si>
    <t>Ajay Bhattacharyya / Danny Parker / Jessie Ware</t>
  </si>
  <si>
    <t>Your Domino</t>
  </si>
  <si>
    <t>Ajay Bhattacharyya / Danny Parker / Daniel Schnair / Jessie Ware</t>
  </si>
  <si>
    <t>Alone</t>
  </si>
  <si>
    <t>Sarah Aarons / Thomas Hull / Jessie Ware</t>
  </si>
  <si>
    <t>Selfish Love</t>
  </si>
  <si>
    <t>Ross Golan / Magnus August H?iberg / Benjamin Levin / Ammar Malik / Nathan
                  Perez / Ryan Tedder / Jessie Ware</t>
  </si>
  <si>
    <t>First Time</t>
  </si>
  <si>
    <t>Fin Dow-Smith / James Newman / Jessie Ware</t>
  </si>
  <si>
    <t>Hearts</t>
  </si>
  <si>
    <t>Benjamin Ash / Benjamin Levin / Julia Michaels / Jessie Ware</t>
  </si>
  <si>
    <t>Slow Me Down</t>
  </si>
  <si>
    <t>Frederik Ball / Nina Nesbitt / Sam Preston / Jessie Ware</t>
  </si>
  <si>
    <t>Finish What We Started</t>
  </si>
  <si>
    <t>Julian Bunetta / John Ryan / Jamie Scott / Jessie Ware</t>
  </si>
  <si>
    <t>Last of the True Believers</t>
  </si>
  <si>
    <t>Paul Buchanan / Liam Howe / Jessie Ware / Felix White / Hugo White</t>
  </si>
  <si>
    <t>Jessie Ware ft. Paul Buchanan</t>
  </si>
  <si>
    <t>Sam</t>
  </si>
  <si>
    <t>Dave Christopher / Benjamin Levin / Dave Okumu / Pino Palladino / Nico
                  Segal / Ed Sheeran / Francis Farewell Starlite / Jessie Ware</t>
  </si>
  <si>
    <t>Column2</t>
  </si>
  <si>
    <t>Column3</t>
  </si>
  <si>
    <t>Column4</t>
  </si>
  <si>
    <t>Column5</t>
  </si>
  <si>
    <t>No.</t>
  </si>
  <si>
    <t>Disc 29</t>
  </si>
  <si>
    <t>1</t>
  </si>
  <si>
    <t>29 Intro</t>
  </si>
  <si>
    <t>Jermaine Cole, James Taylor</t>
  </si>
  <si>
    <t>J. Cole</t>
  </si>
  <si>
    <t>0:57</t>
  </si>
  <si>
    <t>2</t>
  </si>
  <si>
    <t>Two Six</t>
  </si>
  <si>
    <t>Jermaine Cole, Tyler Williams, Damon Coleman, Ron Gilmore Jr., Donald Maurice Pears II</t>
  </si>
  <si>
    <t>3:16</t>
  </si>
  <si>
    <t>3</t>
  </si>
  <si>
    <t>SAFETY</t>
  </si>
  <si>
    <t>Jermaine Cole, Kelvin Wooten, Powers Pleasant, Tim Friedrich, Michael Holmes,
                  Thomas Wlodarczyk, Keir Gist</t>
  </si>
  <si>
    <t>5:18</t>
  </si>
  <si>
    <t>4</t>
  </si>
  <si>
    <t>Run a Train</t>
  </si>
  <si>
    <t>Jermaine Cole, Nayvadius Wilburn, Steve Bilodeau, Tyler Williams, Nima
                  Jahanbin, Aaron Goldstein, Mario Luciano</t>
  </si>
  <si>
    <t>J. Cole, feat. Future</t>
  </si>
  <si>
    <t>4:02</t>
  </si>
  <si>
    <t>5</t>
  </si>
  <si>
    <t>Poor Thang</t>
  </si>
  <si>
    <t>Jermaine Cole, Steve Bilodeau, Tyler Williams, Kelvin Wooten, Damon Coleman,
                  Michael Holmes, Bunny Sigler, Phillip Hurtt</t>
  </si>
  <si>
    <t>4:50</t>
  </si>
  <si>
    <t>6</t>
  </si>
  <si>
    <t>Legacy</t>
  </si>
  <si>
    <t>Jermaine Cole, Paris Jones, Steve Bilodeau, Luca Mauti, Brayon Nelson,
                  Tyler Williams, Leroy Emmanuel</t>
  </si>
  <si>
    <t>J. Cole, PJ</t>
  </si>
  <si>
    <t>3:55</t>
  </si>
  <si>
    <t>7</t>
  </si>
  <si>
    <t>Bunce Road Blues</t>
  </si>
  <si>
    <t>Jermaine Cole, Nayvadius Wilburn, Temilade Openiyi, Abbas Hamad, Bryan
                  James Sledge, Margaux Whitney, Ron Gilmore Jr., Alan Maman, Usher Raymond,
                  Brian Casey, Jermaine Dupri, Manuel Lonnie Seal</t>
  </si>
  <si>
    <t>J. Cole, feat. Future, Tems</t>
  </si>
  <si>
    <t>5:10</t>
  </si>
  <si>
    <t>8</t>
  </si>
  <si>
    <t>WHO TF IZ U</t>
  </si>
  <si>
    <t>Jermaine Cole, Tyler Williams, Anderson Hernandez, Harvey Fuqua, Beatrice
                  Verdi</t>
  </si>
  <si>
    <t>4:37</t>
  </si>
  <si>
    <t>9</t>
  </si>
  <si>
    <t>Drum n Bass</t>
  </si>
  <si>
    <t>Jermaine Cole, Benjamin Siciliano, Nima Jahanbin, Aaron Goldstein, Tyler Williams, Scott Cossu</t>
  </si>
  <si>
    <t>4:14</t>
  </si>
  <si>
    <t>10</t>
  </si>
  <si>
    <t>The Let Out</t>
  </si>
  <si>
    <t>Jermaine Cole, Tyler Williams, Steve Bilodeau</t>
  </si>
  <si>
    <t>11</t>
  </si>
  <si>
    <t>Bombs in the Ville/Hit the Gas</t>
  </si>
  <si>
    <t>Jermaine Cole, Steve Bilodeau, Tyler Williams, Matthew Samuels, Christopher Bridges, Shondrae Crawford</t>
  </si>
  <si>
    <t>4:06</t>
  </si>
  <si>
    <t>12</t>
  </si>
  <si>
    <t>Lonely at the Top *(Bonus)*</t>
  </si>
  <si>
    <t>Jermaine Cole, David Linaburg, Kelvin Wooten, Michael Holmes, Jeremie S.
                  Pennick, Amber Joy Croskery, Thomas A. Paladino</t>
  </si>
  <si>
    <t>3:24</t>
  </si>
  <si>
    <t>Disc 39</t>
  </si>
  <si>
    <t>39 Intro</t>
  </si>
  <si>
    <t>Jermaine Cole, Tyler Williams,  Anderson Hernandez, Kelvin Wooten, Steve
                  Bilodeau, FNZ, Coleman, Willie Hutch</t>
  </si>
  <si>
    <t>6:06</t>
  </si>
  <si>
    <t>The Fall-Off Is Inevitable</t>
  </si>
  <si>
    <t>Jermaine Cole, Michael Holmes, Maneesh Bidaye, Kelvin Wooten</t>
  </si>
  <si>
    <t>2:56</t>
  </si>
  <si>
    <t>The Villest</t>
  </si>
  <si>
    <t>Jermaine Cole, Erica Badu, Damon Coleman, Tyler Williams, Kelvin Wooten,
                  Michael Holmes, Antwan Patton, André Benjamin, Barbara Gaskins</t>
  </si>
  <si>
    <t>J. Cole, feat. Erykah Badu</t>
  </si>
  <si>
    <t>4:30</t>
  </si>
  <si>
    <t>Old Dog</t>
  </si>
  <si>
    <t>Jermaine Cole, Moses Barrett III, Tyler Williams, Clifford Harris, Aldrin Davis</t>
  </si>
  <si>
    <t>J. Cole, feat. Petey Pablo</t>
  </si>
  <si>
    <t>3:22</t>
  </si>
  <si>
    <t>Life Sentence</t>
  </si>
  <si>
    <t>Jermaine Cole, Kelvin Wooten, Tyler Williams, Cedric Brown, Craig AshleyDavid,
                  Fraser Lance Thorneycroft Smith, Earl Simmons, Anthony Fields</t>
  </si>
  <si>
    <t>4:12</t>
  </si>
  <si>
    <t>Only You</t>
  </si>
  <si>
    <t>Jermaine Cole, Damini Ogulu, Tyler Williams, Michael Holmes, Luca Mauti,
                  Siccature Alcock, Daoud Anthony, Abdul Aziz Dieng, Alistaire Duhane McCalla,
                  Roshaun Omawate Clarke, Xavier Anthony Davidson, Donovan Bennett, Nigel
                  Andrew Staff, Wayne Morris, Eva L. Fontes</t>
  </si>
  <si>
    <t>J. Cole, feat. Burna Boy</t>
  </si>
  <si>
    <t>4:46</t>
  </si>
  <si>
    <t>Man Up Above</t>
  </si>
  <si>
    <t>Jermaine Cole, Tyler Williams, William Robinson Jr. , Marvin Louis Sapp,
                  Matthew Richard Brownie, Jennifer Lopez, Jason Phillips, David Styles,
                  Andre Deyo, Troy A Oliver, Jean Olivier, Samuel Barnes, José Frenands
                  Arbex Miro, Michael Ian Oliviere, Lawrence KRSOne Parker, Scott Monroe
                  Sterling</t>
  </si>
  <si>
    <t>4:58</t>
  </si>
  <si>
    <t>I Love Her Again</t>
  </si>
  <si>
    <t>Jermaine Cole, Jacob Dutton, Lonnie Lynn, James Dewitt Yancey, Bobby Caldwell,
                  Bruce Malament, Norman Qilliam Harris, Phillip Nimmons</t>
  </si>
  <si>
    <t>5:32</t>
  </si>
  <si>
    <t>What If</t>
  </si>
  <si>
    <t>Jermaine Cole, Morae Ruffin, Donte Perkins, Tyler Williams, Kelvin Wooten,
                  Beat Bitcha</t>
  </si>
  <si>
    <t>J. Cole, feat. Morray</t>
  </si>
  <si>
    <t>5:19</t>
  </si>
  <si>
    <t>Quik Stop</t>
  </si>
  <si>
    <t>Jermaine Cole, Damon Coleman, Michael Holmes, Kelvin Wooten, Devin Copeland, Robert McQueen, Dexter Johnson</t>
  </si>
  <si>
    <t>4:24</t>
  </si>
  <si>
    <t>and the whole world is the Ville</t>
  </si>
  <si>
    <t>Jermaine Cole, Abdul Aziz Dieng, O'Kelly Isley Jr., Rudolph Isley, Ronald
                  Isley, Christopher Jasper, Omar Davis, Jonathan Billingslea, Marcus Shaw,
                  Steven Maurice Curry</t>
  </si>
  <si>
    <t>4:35</t>
  </si>
  <si>
    <t>Ocean Way *(Bonus)*</t>
  </si>
  <si>
    <t>Jermaine Cole, David Linaburg, Ronald Gilmore, Kelvin Wooten</t>
  </si>
  <si>
    <t>2:34</t>
  </si>
  <si>
    <t>Jermaine Cole, Tyler Williams,  Anderson Hernandez, Kelvin Wooten, Steve  Bilodeau, FNZ, Coleman, Willie Hutch</t>
    <phoneticPr fontId="1"/>
  </si>
  <si>
    <t>Jermaine Cole, Erica Badu, Damon Coleman, Tyler Williams, Kelvin Wooten,  Michael Holmes, Antwan Patton, André Benjamin, Barbara Gaskins</t>
    <phoneticPr fontId="1"/>
  </si>
  <si>
    <t>Jermaine Cole, Kelvin Wooten, Tyler Williams, Cedric Brown, Craig AshleyDavid, Fraser Lance Thorneycroft Smith, Earl Simmons, Anthony Fields</t>
    <phoneticPr fontId="1"/>
  </si>
  <si>
    <t>Jermaine Cole, Damini Ogulu, Tyler Williams, Michael Holmes, Luca Mauti, Siccature Alcock, Daoud Anthony, Abdul Aziz Dieng, Alistaire Duhane McCalla, Roshaun Omawate Clarke, Xavier Anthony Davidson, Donovan Bennett, Nigel Andrew Staff, Wayne Morris, Eva L. Fontes</t>
    <phoneticPr fontId="1"/>
  </si>
  <si>
    <t>Jermaine Cole, Tyler Williams, William Robinson Jr. , Marvin Louis Sapp,  Matthew Richard Brownie, Jennifer Lopez, Jason Phillips, David Styles,  Andre Deyo, Troy A Oliver, Jean Olivier, Samuel Barnes, José Frenands  Arbex Miro, Michael Ian Oliviere, Lawrence KRSOne Parker, Scott Monroe Sterling</t>
    <phoneticPr fontId="1"/>
  </si>
  <si>
    <t>Jermaine Cole, Jacob Dutton, Lonnie Lynn, James Dewitt Yancey, Bobby Caldwell, Bruce Malament, Norman Qilliam Harris, Phillip Nimmons</t>
    <phoneticPr fontId="1"/>
  </si>
  <si>
    <t>Jermaine Cole, Morae Ruffin, Donte Perkins, Tyler Williams, Kelvin Wooten,  Beat Bitcha</t>
    <phoneticPr fontId="1"/>
  </si>
  <si>
    <t>Jermaine Cole, Abdul Aziz Dieng, O'Kelly Isley Jr., Rudolph Isley, Ronald Isley, Christopher Jasper, Omar Davis, Jonathan Billingslea, Marcus Shaw, Steven Maurice Curry</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</si>
</sst>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h:mm;@"/>
    <numFmt numFmtId="177" formatCode="[$-F400]h:mm:ss\ AM/PM"/>
  </numFmts>
  <fonts count="3">
    <font>
      <sz val="12"/>
      <color theme="1"/>
      <name val="游ゴシック"/>
      <family val="2"/>
      <charset val="128"/>
      <scheme val="minor"/>
    </font>
    <font>
      <sz val="6"/>
      <name val="游ゴシック"/>
      <family val="2"/>
      <charset val="128"/>
      <scheme val="minor"/>
    </font>
    <font>
      <sz val="10"/>
      <color theme="1"/>
      <name val="Arial Unicode MS"/>
      <family val="2"/>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8">
    <xf numFmtId="0" fontId="0" fillId="0" borderId="0" xfId="0">
      <alignment vertical="center"/>
    </xf>
    <xf numFmtId="0" fontId="2" fillId="0" borderId="0" xfId="0" applyFont="1">
      <alignment vertical="center"/>
    </xf>
    <xf numFmtId="176" fontId="0" fillId="0" borderId="0" xfId="0" applyNumberFormat="1">
      <alignment vertical="center"/>
    </xf>
    <xf numFmtId="0" fontId="0" fillId="0" borderId="0" xfId="0" applyAlignment="1">
      <alignment horizontal="center" vertical="center"/>
    </xf>
    <xf numFmtId="49" fontId="0" fillId="0" borderId="0" xfId="0" applyNumberFormat="1">
      <alignment vertical="center"/>
    </xf>
    <xf numFmtId="177" fontId="0" fillId="0" borderId="0" xfId="0" applyNumberFormat="1">
      <alignment vertical="center"/>
    </xf>
    <xf numFmtId="0" fontId="0" fillId="0" borderId="0" xfId="0" applyNumberFormat="1">
      <alignment vertical="center"/>
    </xf>
    <xf numFmtId="0" fontId="0" fillId="0" borderId="0" xfId="0" applyNumberFormat="1" applyAlignment="1">
      <alignment vertical="center" wrapText="1"/>
    </xf>
  </cellXfs>
  <cellStyles count="1">
    <cellStyle name="標準" xfId="0" builtinId="0"/>
  </cellStyles>
  <dxfs count="1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77" formatCode="[$-F400]h:mm:ss\ AM/P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72" xr16:uid="{D8FF0020-E641-4CF1-A0C4-8FAE55661FDB}" autoFormatId="20" applyNumberFormats="0" applyBorderFormats="0" applyFontFormats="0" applyPatternFormats="0" applyAlignmentFormats="0" applyWidthHeightFormats="0">
  <queryTableRefresh nextId="6">
    <queryTableFields count="5">
      <queryTableField id="1" name="Column1" tableColumnId="1"/>
      <queryTableField id="2" name="Title" tableColumnId="2"/>
      <queryTableField id="3" name="Composer" tableColumnId="3"/>
      <queryTableField id="4" name="Performer" tableColumnId="4"/>
      <queryTableField id="5" name="Time" tableColumnId="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73" xr16:uid="{C88EBF69-E4F0-40EA-8BE2-F70B76201E42}" autoFormatId="20" applyNumberFormats="0" applyBorderFormats="0" applyFontFormats="0" applyPatternFormats="0" applyAlignmentFormats="0" applyWidthHeightFormats="0">
  <queryTableRefresh nextId="6">
    <queryTableFields count="5">
      <queryTableField id="1" name="Column1" tableColumnId="1"/>
      <queryTableField id="2" name="Column2" tableColumnId="2"/>
      <queryTableField id="3" name="Column3" tableColumnId="3"/>
      <queryTableField id="4" name="Column4" tableColumnId="4"/>
      <queryTableField id="5" name="Column5"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71" xr16:uid="{DA37A2ED-2C48-450E-948E-6B76EF83351F}" autoFormatId="20" applyNumberFormats="0" applyBorderFormats="0" applyFontFormats="0" applyPatternFormats="0" applyAlignmentFormats="0" applyWidthHeightFormats="0">
  <queryTableRefresh nextId="6">
    <queryTableFields count="5">
      <queryTableField id="1" name="Column1" tableColumnId="1"/>
      <queryTableField id="2" name="Title" tableColumnId="2"/>
      <queryTableField id="3" name="Composer" tableColumnId="3"/>
      <queryTableField id="4" name="Performer" tableColumnId="4"/>
      <queryTableField id="5" name="Time"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768AC4E-1830-4A6F-B74E-BF366611F314}" name="テーブル_5__933" displayName="テーブル_5__933" ref="A1:E13" tableType="queryTable" totalsRowShown="0">
  <autoFilter ref="A1:E13" xr:uid="{F768AC4E-1830-4A6F-B74E-BF366611F314}"/>
  <tableColumns count="5">
    <tableColumn id="1" xr3:uid="{CA971ABE-0C4A-419E-8A7B-F0C146886014}" uniqueName="1" name="Column1" queryTableFieldId="1" dataDxfId="4"/>
    <tableColumn id="2" xr3:uid="{B2DBC6B9-4E9B-4290-8E7B-35A129723843}" uniqueName="2" name="Title" queryTableFieldId="2" dataDxfId="3"/>
    <tableColumn id="3" xr3:uid="{11827AB5-0E7E-4F59-97EA-FE91DAA97DE6}" uniqueName="3" name="Composer" queryTableFieldId="3" dataDxfId="2"/>
    <tableColumn id="4" xr3:uid="{77D02945-590C-4E87-BA98-B7D91497454D}" uniqueName="4" name="Performer" queryTableFieldId="4" dataDxfId="1"/>
    <tableColumn id="5" xr3:uid="{1FDF2824-7646-4FB0-A268-9ABCF5139D4D}" uniqueName="5" name="Time" queryTableFieldId="5" dataDxfId="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EEDB3C6-8C9B-478D-9ACB-569B9B96AD55}" name="テーブル_5__95" displayName="テーブル_5__95" ref="A1:E28" tableType="queryTable" totalsRowShown="0">
  <autoFilter ref="A1:E28" xr:uid="{CEEDB3C6-8C9B-478D-9ACB-569B9B96AD55}"/>
  <tableColumns count="5">
    <tableColumn id="1" xr3:uid="{08A4A706-EB2F-4802-8720-A8EF4DF6DE2C}" uniqueName="1" name="Column1" queryTableFieldId="1" dataDxfId="9"/>
    <tableColumn id="2" xr3:uid="{9DF03CBE-4B6D-425B-86B5-B2D9C47EB7C5}" uniqueName="2" name="Column2" queryTableFieldId="2" dataDxfId="8"/>
    <tableColumn id="3" xr3:uid="{A5EA8071-9379-436E-A315-7951A0CCF3DE}" uniqueName="3" name="Column3" queryTableFieldId="3" dataDxfId="7"/>
    <tableColumn id="4" xr3:uid="{AF5987D9-D8FE-42E9-9D97-190A5736E324}" uniqueName="4" name="Column4" queryTableFieldId="4" dataDxfId="6"/>
    <tableColumn id="5" xr3:uid="{71AFC1F1-F906-4059-8908-943D4D11F79A}" uniqueName="5" name="Column5" queryTableFieldId="5"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F7C1CE-175D-4F27-9BAE-24347DD7F7A2}" name="テーブル_5__93" displayName="テーブル_5__93" ref="A1:E13" tableType="queryTable" totalsRowShown="0">
  <autoFilter ref="A1:E13" xr:uid="{54F7C1CE-175D-4F27-9BAE-24347DD7F7A2}"/>
  <tableColumns count="5">
    <tableColumn id="1" xr3:uid="{15C2C5B9-F897-4248-8E72-4F3E2B383D58}" uniqueName="1" name="Column1" queryTableFieldId="1"/>
    <tableColumn id="2" xr3:uid="{2FE846E0-9323-4024-8299-5804BE032BFD}" uniqueName="2" name="Title" queryTableFieldId="2" dataDxfId="13"/>
    <tableColumn id="3" xr3:uid="{F50C3D73-10F1-4C57-AF13-A4FB094DCDC5}" uniqueName="3" name="Composer" queryTableFieldId="3" dataDxfId="12"/>
    <tableColumn id="4" xr3:uid="{7B1D97FD-5A1C-4B60-8276-9963FCAA537D}" uniqueName="4" name="Performer" queryTableFieldId="4" dataDxfId="11"/>
    <tableColumn id="5" xr3:uid="{8BE74FAC-C198-4878-93D5-F42DE344DCD2}" uniqueName="5" name="Time" queryTableFieldId="5" dataDxfId="10"/>
  </tableColumns>
  <tableStyleInfo name="TableStyleMedium7" showFirstColumn="0" showLastColumn="0" showRowStripes="1" showColumnStripes="0"/>
</table>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3"/>
  <sheetViews>
    <sheetView workbookViewId="0">
      <selection activeCell="A2" sqref="A2:XFD12"/>
    </sheetView>
  </sheetViews>
  <sheetFormatPr defaultRowHeight="19.3"/>
  <cols>
    <col min="1" max="1" width="10.375" bestFit="1" customWidth="1"/>
    <col min="2" max="2" width="22.6875" bestFit="1" customWidth="1"/>
    <col min="3" max="3" width="80.5" bestFit="1" customWidth="1"/>
    <col min="4" max="4" width="26.375" bestFit="1" customWidth="1"/>
    <col min="5" max="5" width="7.0625" bestFit="1" customWidth="1"/>
  </cols>
  <sheetData>
    <row r="1" spans="1:5">
      <c r="A1" t="s">
        <v>7</v>
      </c>
      <c r="B1" t="s">
        <v>4</v>
      </c>
      <c r="C1" t="s">
        <v>3</v>
      </c>
      <c r="D1" t="s">
        <v>6</v>
      </c>
      <c r="E1" t="s">
        <v>5</v>
      </c>
    </row>
    <row r="2" spans="1:5">
      <c r="A2" s="6" t="s">
        <v>40</v>
      </c>
      <c r="B2" s="6" t="s">
        <v>92</v>
      </c>
      <c r="C2" s="6" t="s">
        <v>132</v>
      </c>
      <c r="D2" s="6" t="s">
        <v>43</v>
      </c>
      <c r="E2" s="6" t="s">
        <v>94</v>
      </c>
    </row>
    <row r="3" spans="1:5">
      <c r="A3" s="6" t="s">
        <v>45</v>
      </c>
      <c r="B3" s="6" t="s">
        <v>95</v>
      </c>
      <c r="C3" s="6" t="s">
        <v>96</v>
      </c>
      <c r="D3" s="6" t="s">
        <v>43</v>
      </c>
      <c r="E3" s="6" t="s">
        <v>97</v>
      </c>
    </row>
    <row r="4" spans="1:5">
      <c r="A4" s="6" t="s">
        <v>49</v>
      </c>
      <c r="B4" s="6" t="s">
        <v>98</v>
      </c>
      <c r="C4" s="6" t="s">
        <v>133</v>
      </c>
      <c r="D4" s="6" t="s">
        <v>100</v>
      </c>
      <c r="E4" s="6" t="s">
        <v>101</v>
      </c>
    </row>
    <row r="5" spans="1:5">
      <c r="A5" s="6" t="s">
        <v>53</v>
      </c>
      <c r="B5" s="6" t="s">
        <v>102</v>
      </c>
      <c r="C5" s="6" t="s">
        <v>103</v>
      </c>
      <c r="D5" s="6" t="s">
        <v>104</v>
      </c>
      <c r="E5" s="6" t="s">
        <v>105</v>
      </c>
    </row>
    <row r="6" spans="1:5">
      <c r="A6" s="6" t="s">
        <v>58</v>
      </c>
      <c r="B6" s="6" t="s">
        <v>106</v>
      </c>
      <c r="C6" s="6" t="s">
        <v>134</v>
      </c>
      <c r="D6" s="6" t="s">
        <v>43</v>
      </c>
      <c r="E6" s="6" t="s">
        <v>108</v>
      </c>
    </row>
    <row r="7" spans="1:5" ht="57.9">
      <c r="A7" s="6" t="s">
        <v>62</v>
      </c>
      <c r="B7" s="6" t="s">
        <v>109</v>
      </c>
      <c r="C7" s="7" t="s">
        <v>135</v>
      </c>
      <c r="D7" s="6" t="s">
        <v>111</v>
      </c>
      <c r="E7" s="6" t="s">
        <v>112</v>
      </c>
    </row>
    <row r="8" spans="1:5" ht="77.150000000000006">
      <c r="A8" s="6" t="s">
        <v>67</v>
      </c>
      <c r="B8" s="6" t="s">
        <v>113</v>
      </c>
      <c r="C8" s="7" t="s">
        <v>136</v>
      </c>
      <c r="D8" s="6" t="s">
        <v>43</v>
      </c>
      <c r="E8" s="6" t="s">
        <v>115</v>
      </c>
    </row>
    <row r="9" spans="1:5">
      <c r="A9" s="6" t="s">
        <v>72</v>
      </c>
      <c r="B9" s="6" t="s">
        <v>116</v>
      </c>
      <c r="C9" s="6" t="s">
        <v>137</v>
      </c>
      <c r="D9" s="6" t="s">
        <v>43</v>
      </c>
      <c r="E9" s="6" t="s">
        <v>118</v>
      </c>
    </row>
    <row r="10" spans="1:5">
      <c r="A10" s="6" t="s">
        <v>76</v>
      </c>
      <c r="B10" s="6" t="s">
        <v>119</v>
      </c>
      <c r="C10" s="6" t="s">
        <v>138</v>
      </c>
      <c r="D10" s="6" t="s">
        <v>121</v>
      </c>
      <c r="E10" s="6" t="s">
        <v>122</v>
      </c>
    </row>
    <row r="11" spans="1:5">
      <c r="A11" s="6" t="s">
        <v>80</v>
      </c>
      <c r="B11" s="6" t="s">
        <v>123</v>
      </c>
      <c r="C11" s="6" t="s">
        <v>124</v>
      </c>
      <c r="D11" s="6" t="s">
        <v>43</v>
      </c>
      <c r="E11" s="6" t="s">
        <v>125</v>
      </c>
    </row>
    <row r="12" spans="1:5" ht="38.6">
      <c r="A12" s="6" t="s">
        <v>83</v>
      </c>
      <c r="B12" s="6" t="s">
        <v>126</v>
      </c>
      <c r="C12" s="7" t="s">
        <v>139</v>
      </c>
      <c r="D12" s="6" t="s">
        <v>43</v>
      </c>
      <c r="E12" s="6" t="s">
        <v>128</v>
      </c>
    </row>
    <row r="13" spans="1:5">
      <c r="A13" s="6" t="s">
        <v>87</v>
      </c>
      <c r="B13" s="6" t="s">
        <v>129</v>
      </c>
      <c r="C13" s="6" t="s">
        <v>130</v>
      </c>
      <c r="D13" s="6" t="s">
        <v>43</v>
      </c>
      <c r="E13" s="6" t="s">
        <v>131</v>
      </c>
    </row>
  </sheetData>
  <phoneticPr fontId="1"/>
  <pageMargins left="0.7" right="0.7" top="0.75" bottom="0.75" header="0.3" footer="0.3"/>
  <pageSetup paperSize="9" orientation="portrait" horizontalDpi="0" verticalDpi="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K34"/>
  <sheetViews>
    <sheetView tabSelected="1" topLeftCell="G1" workbookViewId="0">
      <selection activeCell="A3" sqref="A3:K16"/>
    </sheetView>
  </sheetViews>
  <sheetFormatPr defaultColWidth="11.5625" defaultRowHeight="19.3"/>
  <cols>
    <col min="1" max="1" width="4.25" customWidth="1"/>
    <col min="3" max="3" width="3.875" style="3" customWidth="1"/>
    <col min="4" max="4" width="21.125" customWidth="1"/>
    <col min="5" max="5" width="4" style="3" customWidth="1"/>
    <col min="6" max="6" width="119.25" bestFit="1" customWidth="1"/>
    <col min="7" max="7" width="4.4375" style="3" customWidth="1"/>
    <col min="8" max="8" width="21.75" customWidth="1"/>
    <col min="9" max="9" width="4.3125" style="3" customWidth="1"/>
    <col min="10" max="10" width="8.4375" customWidth="1"/>
    <col min="11" max="11" width="3.4375" style="3" customWidth="1"/>
  </cols>
  <sheetData>
    <row r="2" spans="1:11">
      <c r="D2" s="1">
        <f t="array" ref="D2">MAX(LENB(Sheet1!B1:'Sheet1'!B30))</f>
        <v>32</v>
      </c>
      <c r="F2" s="1">
        <f t="array" ref="F2">MAX(LENB(Sheet1!C1:'Sheet1'!C30))</f>
        <v>297</v>
      </c>
      <c r="H2" s="1">
        <f t="array" ref="H2">MAX(LENB(Sheet1!D1:'Sheet1'!D30))</f>
        <v>26</v>
      </c>
      <c r="J2" s="1">
        <f>7</f>
        <v>7</v>
      </c>
    </row>
    <row r="3" spans="1:11">
      <c r="A3" t="s">
        <v>0</v>
      </c>
      <c r="B3" t="str">
        <f>" "&amp;"No."&amp;" "</f>
        <v xml:space="preserve"> No. </v>
      </c>
      <c r="C3" s="3" t="s">
        <v>0</v>
      </c>
      <c r="D3" t="str">
        <f>" "&amp;LEFTB("Title"&amp;REPT(" ",$D$2),$D$2)</f>
        <v xml:space="preserve"> Title                           </v>
      </c>
      <c r="E3" s="3" t="s">
        <v>0</v>
      </c>
      <c r="F3" t="str">
        <f>" "&amp;LEFTB("Composers"&amp;REPT(" ",$F$2-1),$F$2-1)</f>
        <v xml:space="preserve"> Composers                                                                                                                                                                                                                                                                                               </v>
      </c>
      <c r="G3" s="3" t="s">
        <v>0</v>
      </c>
      <c r="H3" t="str">
        <f>" "&amp;LEFTB("Performer"&amp;REPT(" ",$H$2),$H$2)</f>
        <v xml:space="preserve"> Performer                 </v>
      </c>
      <c r="I3" s="3" t="s">
        <v>0</v>
      </c>
      <c r="J3" t="str">
        <f>" "&amp;"Time"</f>
        <v xml:space="preserve"> Time</v>
      </c>
      <c r="K3" s="3" t="s">
        <v>0</v>
      </c>
    </row>
    <row r="4" spans="1:11">
      <c r="A4" t="s">
        <v>0</v>
      </c>
      <c r="B4" t="s">
        <v>1</v>
      </c>
      <c r="C4" s="3" t="s">
        <v>0</v>
      </c>
      <c r="D4" t="str">
        <f>REPT("-",$D$2)&amp;" "</f>
        <v xml:space="preserve">-------------------------------- </v>
      </c>
      <c r="E4" s="3" t="s">
        <v>0</v>
      </c>
      <c r="F4" t="str">
        <f>" "&amp;REPT("-",$F$2)&amp;" "</f>
        <v xml:space="preserve"> --------------------------------------------------------------------------------------------------------------------------------------------------------------------------------------------------------------------------------------------------------------------------------------------------------- </v>
      </c>
      <c r="G4" s="3" t="s">
        <v>0</v>
      </c>
      <c r="H4" t="str">
        <f>" "&amp;REPT("-",$H$2)&amp;" "</f>
        <v xml:space="preserve"> -------------------------- </v>
      </c>
      <c r="I4" s="3" t="s">
        <v>0</v>
      </c>
      <c r="J4" t="s">
        <v>2</v>
      </c>
      <c r="K4" s="3" t="s">
        <v>0</v>
      </c>
    </row>
    <row r="5" spans="1:11">
      <c r="A5" t="s">
        <v>0</v>
      </c>
      <c r="B5" t="str">
        <f>Sheet1!A2</f>
        <v>1</v>
      </c>
      <c r="C5" s="3" t="s">
        <v>0</v>
      </c>
      <c r="D5" s="4" t="str">
        <f>LEFTB(Sheet1!B2&amp;REPT(" ",$D$2),$D$2)</f>
        <v xml:space="preserve">39 Intro                        </v>
      </c>
      <c r="E5" s="3" t="s">
        <v>0</v>
      </c>
      <c r="F5" t="str">
        <f>" "&amp;LEFTB(Sheet1!C2&amp;REPT(" ",$F$2),$F$2)</f>
        <v xml:space="preserve"> Jermaine Cole, Tyler Williams,  Anderson Hernandez, Kelvin Wooten, Steve  Bilodeau, FNZ, Coleman, Willie Hutch                                                                                                                                                                                           </v>
      </c>
      <c r="G5" s="3" t="s">
        <v>0</v>
      </c>
      <c r="H5" t="str">
        <f>LEFTB(Sheet1!D2&amp;REPT(" ",$H$2),$H$2)</f>
        <v xml:space="preserve">J. Cole                   </v>
      </c>
      <c r="I5" s="3" t="s">
        <v>0</v>
      </c>
      <c r="J5" s="2" t="str">
        <f>TEXT(Sheet1!E2,"HH:MM")&amp;" "</f>
        <v xml:space="preserve">06:06 </v>
      </c>
      <c r="K5" s="3" t="s">
        <v>0</v>
      </c>
    </row>
    <row r="6" spans="1:11">
      <c r="A6" t="s">
        <v>0</v>
      </c>
      <c r="B6" t="str">
        <f>Sheet1!A3</f>
        <v>2</v>
      </c>
      <c r="C6" s="3" t="s">
        <v>0</v>
      </c>
      <c r="D6" s="4" t="str">
        <f>LEFTB(Sheet1!B3&amp;REPT(" ",$D$2),$D$2)</f>
        <v xml:space="preserve">The Fall-Off Is Inevitable      </v>
      </c>
      <c r="E6" s="3" t="s">
        <v>0</v>
      </c>
      <c r="F6" t="str">
        <f>" "&amp;LEFTB(Sheet1!C3&amp;REPT(" ",$F$2),$F$2)</f>
        <v xml:space="preserve"> Jermaine Cole, Michael Holmes, Maneesh Bidaye, Kelvin Wooten                                                                                                                                                                                                                                             </v>
      </c>
      <c r="G6" s="3" t="s">
        <v>0</v>
      </c>
      <c r="H6" t="str">
        <f>LEFTB(Sheet1!D3&amp;REPT(" ",$H$2),$H$2)</f>
        <v xml:space="preserve">J. Cole                   </v>
      </c>
      <c r="I6" s="3" t="s">
        <v>0</v>
      </c>
      <c r="J6" s="2" t="str">
        <f>TEXT(Sheet1!E3,"HH:MM")&amp;" "</f>
        <v xml:space="preserve">02:56 </v>
      </c>
      <c r="K6" s="3" t="s">
        <v>0</v>
      </c>
    </row>
    <row r="7" spans="1:11">
      <c r="A7" t="s">
        <v>0</v>
      </c>
      <c r="B7" t="str">
        <f>Sheet1!A4</f>
        <v>3</v>
      </c>
      <c r="C7" s="3" t="s">
        <v>0</v>
      </c>
      <c r="D7" s="4" t="str">
        <f>LEFTB(Sheet1!B4&amp;REPT(" ",$D$2),$D$2)</f>
        <v xml:space="preserve">The Villest                     </v>
      </c>
      <c r="E7" s="3" t="s">
        <v>0</v>
      </c>
      <c r="F7" t="str">
        <f>" "&amp;LEFTB(Sheet1!C4&amp;REPT(" ",$F$2),$F$2)</f>
        <v xml:space="preserve"> Jermaine Cole, Erica Badu, Damon Coleman, Tyler Williams, Kelvin Wooten,  Michael Holmes, Antwan Patton, André Benjamin, Barbara Gaskins                                                                                                                                                                </v>
      </c>
      <c r="G7" s="3" t="s">
        <v>0</v>
      </c>
      <c r="H7" t="str">
        <f>LEFTB(Sheet1!D4&amp;REPT(" ",$H$2),$H$2)</f>
        <v>J. Cole, feat. Erykah Badu</v>
      </c>
      <c r="I7" s="3" t="s">
        <v>0</v>
      </c>
      <c r="J7" s="2" t="str">
        <f>TEXT(Sheet1!E4,"HH:MM")&amp;" "</f>
        <v xml:space="preserve">04:30 </v>
      </c>
      <c r="K7" s="3" t="s">
        <v>0</v>
      </c>
    </row>
    <row r="8" spans="1:11">
      <c r="A8" t="s">
        <v>0</v>
      </c>
      <c r="B8" t="str">
        <f>Sheet1!A5</f>
        <v>4</v>
      </c>
      <c r="C8" s="3" t="s">
        <v>0</v>
      </c>
      <c r="D8" s="4" t="str">
        <f>LEFTB(Sheet1!B5&amp;REPT(" ",$D$2),$D$2)</f>
        <v xml:space="preserve">Old Dog                         </v>
      </c>
      <c r="E8" s="3" t="s">
        <v>0</v>
      </c>
      <c r="F8" t="str">
        <f>" "&amp;LEFTB(Sheet1!C5&amp;REPT(" ",$F$2),$F$2)</f>
        <v xml:space="preserve"> Jermaine Cole, Moses Barrett III, Tyler Williams, Clifford Harris, Aldrin Davis                                                                                                                                                                                                                          </v>
      </c>
      <c r="G8" s="3" t="s">
        <v>0</v>
      </c>
      <c r="H8" t="str">
        <f>LEFTB(Sheet1!D5&amp;REPT(" ",$H$2),$H$2)</f>
        <v>J. Cole, feat. Petey Pablo</v>
      </c>
      <c r="I8" s="3" t="s">
        <v>0</v>
      </c>
      <c r="J8" s="2" t="str">
        <f>TEXT(Sheet1!E5,"HH:MM")&amp;" "</f>
        <v xml:space="preserve">03:22 </v>
      </c>
      <c r="K8" s="3" t="s">
        <v>0</v>
      </c>
    </row>
    <row r="9" spans="1:11">
      <c r="A9" t="s">
        <v>0</v>
      </c>
      <c r="B9" t="str">
        <f>Sheet1!A6</f>
        <v>5</v>
      </c>
      <c r="C9" s="3" t="s">
        <v>0</v>
      </c>
      <c r="D9" s="4" t="str">
        <f>LEFTB(Sheet1!B6&amp;REPT(" ",$D$2),$D$2)</f>
        <v xml:space="preserve">Life Sentence                   </v>
      </c>
      <c r="E9" s="3" t="s">
        <v>0</v>
      </c>
      <c r="F9" t="str">
        <f>" "&amp;LEFTB(Sheet1!C6&amp;REPT(" ",$F$2),$F$2)</f>
        <v xml:space="preserve"> Jermaine Cole, Kelvin Wooten, Tyler Williams, Cedric Brown, Craig AshleyDavid, Fraser Lance Thorneycroft Smith, Earl Simmons, Anthony Fields                                                                                                                                                             </v>
      </c>
      <c r="G9" s="3" t="s">
        <v>0</v>
      </c>
      <c r="H9" t="str">
        <f>LEFTB(Sheet1!D6&amp;REPT(" ",$H$2),$H$2)</f>
        <v xml:space="preserve">J. Cole                   </v>
      </c>
      <c r="I9" s="3" t="s">
        <v>0</v>
      </c>
      <c r="J9" s="2" t="str">
        <f>TEXT(Sheet1!E6,"HH:MM")&amp;" "</f>
        <v xml:space="preserve">04:12 </v>
      </c>
      <c r="K9" s="3" t="s">
        <v>0</v>
      </c>
    </row>
    <row r="10" spans="1:11">
      <c r="A10" t="s">
        <v>0</v>
      </c>
      <c r="B10" t="str">
        <f>Sheet1!A7</f>
        <v>6</v>
      </c>
      <c r="C10" s="3" t="s">
        <v>0</v>
      </c>
      <c r="D10" s="4" t="str">
        <f>LEFTB(Sheet1!B7&amp;REPT(" ",$D$2),$D$2)</f>
        <v xml:space="preserve">Only You                        </v>
      </c>
      <c r="E10" s="3" t="s">
        <v>0</v>
      </c>
      <c r="F10" t="str">
        <f>" "&amp;LEFTB(Sheet1!C7&amp;REPT(" ",$F$2),$F$2)</f>
        <v xml:space="preserve"> Jermaine Cole, Damini Ogulu, Tyler Williams, Michael Holmes, Luca Mauti, Siccature Alcock, Daoud Anthony, Abdul Aziz Dieng, Alistaire Duhane McCalla, Roshaun Omawate Clarke, Xavier Anthony Davidson, Donovan Bennett, Nigel Andrew Staff, Wayne Morris, Eva L. Fontes                                  </v>
      </c>
      <c r="G10" s="3" t="s">
        <v>0</v>
      </c>
      <c r="H10" t="str">
        <f>LEFTB(Sheet1!D7&amp;REPT(" ",$H$2),$H$2)</f>
        <v xml:space="preserve">J. Cole, feat. Burna Boy  </v>
      </c>
      <c r="I10" s="3" t="s">
        <v>0</v>
      </c>
      <c r="J10" s="2" t="str">
        <f>TEXT(Sheet1!E7,"HH:MM")&amp;" "</f>
        <v xml:space="preserve">04:46 </v>
      </c>
      <c r="K10" s="3" t="s">
        <v>0</v>
      </c>
    </row>
    <row r="11" spans="1:11">
      <c r="A11" t="s">
        <v>0</v>
      </c>
      <c r="B11" t="str">
        <f>Sheet1!A8</f>
        <v>7</v>
      </c>
      <c r="C11" s="3" t="s">
        <v>0</v>
      </c>
      <c r="D11" s="4" t="str">
        <f>LEFTB(Sheet1!B8&amp;REPT(" ",$D$2),$D$2)</f>
        <v xml:space="preserve">Man Up Above                    </v>
      </c>
      <c r="E11" s="3" t="s">
        <v>0</v>
      </c>
      <c r="F11" t="str">
        <f>" "&amp;LEFTB(Sheet1!C8&amp;REPT(" ",$F$2),$F$2)</f>
        <v xml:space="preserve"> Jermaine Cole, Tyler Williams, William Robinson Jr. , Marvin Louis Sapp,  Matthew Richard Brownie, Jennifer Lopez, Jason Phillips, David Styles,  Andre Deyo, Troy A Oliver, Jean Olivier, Samuel Barnes, José Frenands  Arbex Miro, Michael Ian Oliviere, Lawrence KRSOne Parker, Scott Monroe Sterling</v>
      </c>
      <c r="G11" s="3" t="s">
        <v>0</v>
      </c>
      <c r="H11" t="str">
        <f>LEFTB(Sheet1!D8&amp;REPT(" ",$H$2),$H$2)</f>
        <v xml:space="preserve">J. Cole                   </v>
      </c>
      <c r="I11" s="3" t="s">
        <v>0</v>
      </c>
      <c r="J11" s="2" t="str">
        <f>TEXT(Sheet1!E8,"HH:MM")&amp;" "</f>
        <v xml:space="preserve">04:58 </v>
      </c>
      <c r="K11" s="3" t="s">
        <v>0</v>
      </c>
    </row>
    <row r="12" spans="1:11">
      <c r="A12" t="s">
        <v>0</v>
      </c>
      <c r="B12" t="str">
        <f>Sheet1!A9</f>
        <v>8</v>
      </c>
      <c r="C12" s="3" t="s">
        <v>0</v>
      </c>
      <c r="D12" s="4" t="str">
        <f>LEFTB(Sheet1!B9&amp;REPT(" ",$D$2),$D$2)</f>
        <v xml:space="preserve">I Love Her Again                </v>
      </c>
      <c r="E12" s="3" t="s">
        <v>0</v>
      </c>
      <c r="F12" t="str">
        <f>" "&amp;LEFTB(Sheet1!C9&amp;REPT(" ",$F$2),$F$2)</f>
        <v xml:space="preserve"> Jermaine Cole, Jacob Dutton, Lonnie Lynn, James Dewitt Yancey, Bobby Caldwell, Bruce Malament, Norman Qilliam Harris, Phillip Nimmons                                                                                                                                                                    </v>
      </c>
      <c r="G12" s="3" t="s">
        <v>0</v>
      </c>
      <c r="H12" t="str">
        <f>LEFTB(Sheet1!D9&amp;REPT(" ",$H$2),$H$2)</f>
        <v xml:space="preserve">J. Cole                   </v>
      </c>
      <c r="I12" s="3" t="s">
        <v>0</v>
      </c>
      <c r="J12" s="2" t="str">
        <f>TEXT(Sheet1!E9,"HH:MM")&amp;" "</f>
        <v xml:space="preserve">05:32 </v>
      </c>
      <c r="K12" s="3" t="s">
        <v>0</v>
      </c>
    </row>
    <row r="13" spans="1:11">
      <c r="A13" t="s">
        <v>0</v>
      </c>
      <c r="B13" t="str">
        <f>Sheet1!A10</f>
        <v>9</v>
      </c>
      <c r="C13" s="3" t="s">
        <v>0</v>
      </c>
      <c r="D13" s="4" t="str">
        <f>LEFTB(Sheet1!B10&amp;REPT(" ",$D$2),$D$2)</f>
        <v xml:space="preserve">What If                         </v>
      </c>
      <c r="E13" s="3" t="s">
        <v>0</v>
      </c>
      <c r="F13" t="str">
        <f>" "&amp;LEFTB(Sheet1!C10&amp;REPT(" ",$F$2),$F$2)</f>
        <v xml:space="preserve"> Jermaine Cole, Morae Ruffin, Donte Perkins, Tyler Williams, Kelvin Wooten,  Beat Bitcha                                                                                                                                                                                                                  </v>
      </c>
      <c r="G13" s="3" t="s">
        <v>0</v>
      </c>
      <c r="H13" t="str">
        <f>LEFTB(Sheet1!D10&amp;REPT(" ",$H$2),$H$2)</f>
        <v xml:space="preserve">J. Cole, feat. Morray     </v>
      </c>
      <c r="I13" s="3" t="s">
        <v>0</v>
      </c>
      <c r="J13" s="2" t="str">
        <f>TEXT(Sheet1!E10,"HH:MM")&amp;" "</f>
        <v xml:space="preserve">05:19 </v>
      </c>
      <c r="K13" s="3" t="s">
        <v>0</v>
      </c>
    </row>
    <row r="14" spans="1:11">
      <c r="A14" t="s">
        <v>0</v>
      </c>
      <c r="B14" t="str">
        <f>Sheet1!A11</f>
        <v>10</v>
      </c>
      <c r="C14" s="3" t="s">
        <v>0</v>
      </c>
      <c r="D14" s="4" t="str">
        <f>LEFTB(Sheet1!B11&amp;REPT(" ",$D$2),$D$2)</f>
        <v xml:space="preserve">Quik Stop                       </v>
      </c>
      <c r="E14" s="3" t="s">
        <v>0</v>
      </c>
      <c r="F14" t="str">
        <f>" "&amp;LEFTB(Sheet1!C11&amp;REPT(" ",$F$2),$F$2)</f>
        <v xml:space="preserve"> Jermaine Cole, Damon Coleman, Michael Holmes, Kelvin Wooten, Devin Copeland, Robert McQueen, Dexter Johnson                                                                                                                                                                                              </v>
      </c>
      <c r="G14" s="3" t="s">
        <v>0</v>
      </c>
      <c r="H14" t="str">
        <f>LEFTB(Sheet1!D11&amp;REPT(" ",$H$2),$H$2)</f>
        <v xml:space="preserve">J. Cole                   </v>
      </c>
      <c r="I14" s="3" t="s">
        <v>0</v>
      </c>
      <c r="J14" s="2" t="str">
        <f>TEXT(Sheet1!E11,"HH:MM")&amp;" "</f>
        <v xml:space="preserve">04:24 </v>
      </c>
      <c r="K14" s="3" t="s">
        <v>0</v>
      </c>
    </row>
    <row r="15" spans="1:11">
      <c r="A15" t="s">
        <v>0</v>
      </c>
      <c r="B15" t="str">
        <f>Sheet1!A12</f>
        <v>11</v>
      </c>
      <c r="C15" s="3" t="s">
        <v>0</v>
      </c>
      <c r="D15" s="4" t="str">
        <f>LEFTB(Sheet1!B12&amp;REPT(" ",$D$2),$D$2)</f>
        <v>and the whole world is the Ville</v>
      </c>
      <c r="E15" s="3" t="s">
        <v>0</v>
      </c>
      <c r="F15" t="str">
        <f>" "&amp;LEFTB(Sheet1!C12&amp;REPT(" ",$F$2),$F$2)</f>
        <v xml:space="preserve"> Jermaine Cole, Abdul Aziz Dieng, O'Kelly Isley Jr., Rudolph Isley, Ronald Isley, Christopher Jasper, Omar Davis, Jonathan Billingslea, Marcus Shaw, Steven Maurice Curry                                                                                                                                 </v>
      </c>
      <c r="G15" s="3" t="s">
        <v>0</v>
      </c>
      <c r="H15" t="str">
        <f>LEFTB(Sheet1!D12&amp;REPT(" ",$H$2),$H$2)</f>
        <v xml:space="preserve">J. Cole                   </v>
      </c>
      <c r="I15" s="3" t="s">
        <v>0</v>
      </c>
      <c r="J15" s="2" t="str">
        <f>TEXT(Sheet1!E12,"HH:MM")&amp;" "</f>
        <v xml:space="preserve">04:35 </v>
      </c>
      <c r="K15" s="3" t="s">
        <v>0</v>
      </c>
    </row>
    <row r="16" spans="1:11">
      <c r="A16" t="s">
        <v>0</v>
      </c>
      <c r="B16" t="str">
        <f>Sheet1!A13</f>
        <v>12</v>
      </c>
      <c r="C16" s="3" t="s">
        <v>0</v>
      </c>
      <c r="D16" s="4" t="str">
        <f>LEFTB(Sheet1!B13&amp;REPT(" ",$D$2),$D$2)</f>
        <v xml:space="preserve">Ocean Way *(Bonus)*             </v>
      </c>
      <c r="E16" s="3" t="s">
        <v>0</v>
      </c>
      <c r="F16" t="str">
        <f>" "&amp;LEFTB(Sheet1!C13&amp;REPT(" ",$F$2),$F$2)</f>
        <v xml:space="preserve"> Jermaine Cole, David Linaburg, Ronald Gilmore, Kelvin Wooten                                                                                                                                                                                                                                             </v>
      </c>
      <c r="G16" s="3" t="s">
        <v>0</v>
      </c>
      <c r="H16" t="str">
        <f>LEFTB(Sheet1!D13&amp;REPT(" ",$H$2),$H$2)</f>
        <v xml:space="preserve">J. Cole                   </v>
      </c>
      <c r="I16" s="3" t="s">
        <v>0</v>
      </c>
      <c r="J16" s="2" t="str">
        <f>TEXT(Sheet1!E13,"HH:MM")&amp;" "</f>
        <v xml:space="preserve">02:34 </v>
      </c>
      <c r="K16" s="3" t="s">
        <v>0</v>
      </c>
    </row>
    <row r="17" spans="1:11">
      <c r="A17" t="s">
        <v>0</v>
      </c>
      <c r="B17">
        <f>Sheet1!A14</f>
        <v>0</v>
      </c>
      <c r="C17" s="3" t="s">
        <v>0</v>
      </c>
      <c r="D17" s="4" t="str">
        <f>LEFTB(Sheet1!B14&amp;REPT(" ",$D$2),$D$2)</f>
        <v xml:space="preserve">                                </v>
      </c>
      <c r="E17" s="3" t="s">
        <v>0</v>
      </c>
      <c r="F17" t="str">
        <f>" "&amp;LEFTB(Sheet1!C14&amp;REPT(" ",$F$2),$F$2)</f>
        <v xml:space="preserve">                                                                                                                                                                                                                                                                                                          </v>
      </c>
      <c r="G17" s="3" t="s">
        <v>0</v>
      </c>
      <c r="H17" t="str">
        <f>LEFTB(Sheet1!D14&amp;REPT(" ",$H$2),$H$2)</f>
        <v xml:space="preserve">                          </v>
      </c>
      <c r="I17" s="3" t="s">
        <v>0</v>
      </c>
      <c r="J17" s="2" t="str">
        <f>TEXT(Sheet1!E14,"HH:MM")&amp;" "</f>
        <v xml:space="preserve">00:00 </v>
      </c>
      <c r="K17" s="3" t="s">
        <v>0</v>
      </c>
    </row>
    <row r="18" spans="1:11">
      <c r="A18" t="s">
        <v>0</v>
      </c>
      <c r="B18">
        <f>Sheet1!A15</f>
        <v>0</v>
      </c>
      <c r="C18" s="3" t="s">
        <v>0</v>
      </c>
      <c r="D18" t="str">
        <f>LEFTB(Sheet1!B15&amp;REPT(" ",$D$2),$D$2)</f>
        <v xml:space="preserve">                                </v>
      </c>
      <c r="E18" s="3" t="s">
        <v>0</v>
      </c>
      <c r="F18" t="str">
        <f>" "&amp;LEFTB(Sheet1!C15&amp;REPT(" ",$F$2),$F$2)</f>
        <v xml:space="preserve">                                                                                                                                                                                                                                                                                                          </v>
      </c>
      <c r="G18" s="3" t="s">
        <v>0</v>
      </c>
      <c r="H18" t="str">
        <f>LEFTB(Sheet1!D15&amp;REPT(" ",$H$2),$H$2)</f>
        <v xml:space="preserve">                          </v>
      </c>
      <c r="I18" s="3" t="s">
        <v>0</v>
      </c>
      <c r="J18" s="2" t="str">
        <f>TEXT(Sheet1!E15,"HH:MM")&amp;" "</f>
        <v xml:space="preserve">00:00 </v>
      </c>
      <c r="K18" s="3" t="s">
        <v>0</v>
      </c>
    </row>
    <row r="19" spans="1:11">
      <c r="A19" t="s">
        <v>0</v>
      </c>
      <c r="B19">
        <f>Sheet1!A16</f>
        <v>0</v>
      </c>
      <c r="C19" s="3" t="s">
        <v>0</v>
      </c>
      <c r="D19" t="str">
        <f>LEFTB(Sheet1!B16&amp;REPT(" ",$D$2),$D$2)</f>
        <v xml:space="preserve">                                </v>
      </c>
      <c r="E19" s="3" t="s">
        <v>0</v>
      </c>
      <c r="F19" t="str">
        <f>" "&amp;LEFTB(Sheet1!C16&amp;REPT(" ",$F$2),$F$2)</f>
        <v xml:space="preserve">                                                                                                                                                                                                                                                                                                          </v>
      </c>
      <c r="G19" s="3" t="s">
        <v>0</v>
      </c>
      <c r="H19" t="str">
        <f>LEFTB(Sheet1!D16&amp;REPT(" ",$H$2),$H$2)</f>
        <v xml:space="preserve">                          </v>
      </c>
      <c r="I19" s="3" t="s">
        <v>0</v>
      </c>
      <c r="J19" s="2" t="str">
        <f>TEXT(Sheet1!E16,"HH:MM")&amp;" "</f>
        <v xml:space="preserve">00:00 </v>
      </c>
      <c r="K19" s="3" t="s">
        <v>0</v>
      </c>
    </row>
    <row r="20" spans="1:11">
      <c r="A20" t="s">
        <v>0</v>
      </c>
      <c r="B20">
        <f>Sheet1!A17</f>
        <v>0</v>
      </c>
      <c r="C20" s="3" t="s">
        <v>0</v>
      </c>
      <c r="D20" t="str">
        <f>LEFTB(Sheet1!B17&amp;REPT(" ",$D$2),$D$2)</f>
        <v xml:space="preserve">                                </v>
      </c>
      <c r="E20" s="3" t="s">
        <v>0</v>
      </c>
      <c r="F20" t="str">
        <f>" "&amp;LEFTB(Sheet1!C17&amp;REPT(" ",$F$2),$F$2)</f>
        <v xml:space="preserve">                                                                                                                                                                                                                                                                                                          </v>
      </c>
      <c r="G20" s="3" t="s">
        <v>0</v>
      </c>
      <c r="H20" t="str">
        <f>LEFTB(Sheet1!D17&amp;REPT(" ",$H$2),$H$2)</f>
        <v xml:space="preserve">                          </v>
      </c>
      <c r="I20" s="3" t="s">
        <v>0</v>
      </c>
      <c r="J20" s="2" t="str">
        <f>TEXT(Sheet1!E17,"HH:MM")&amp;" "</f>
        <v xml:space="preserve">00:00 </v>
      </c>
      <c r="K20" s="3" t="s">
        <v>0</v>
      </c>
    </row>
    <row r="21" spans="1:11">
      <c r="A21" t="s">
        <v>0</v>
      </c>
      <c r="B21">
        <f>Sheet1!A18</f>
        <v>0</v>
      </c>
      <c r="C21" s="3" t="s">
        <v>0</v>
      </c>
      <c r="D21" t="str">
        <f>LEFTB(Sheet1!B18&amp;REPT(" ",$D$2),$D$2)</f>
        <v xml:space="preserve">                                </v>
      </c>
      <c r="E21" s="3" t="s">
        <v>0</v>
      </c>
      <c r="F21" t="str">
        <f>" "&amp;LEFTB(Sheet1!C18&amp;REPT(" ",$F$2),$F$2)</f>
        <v xml:space="preserve">                                                                                                                                                                                                                                                                                                          </v>
      </c>
      <c r="G21" s="3" t="s">
        <v>0</v>
      </c>
      <c r="H21" t="str">
        <f>LEFTB(Sheet1!D18&amp;REPT(" ",$H$2),$H$2)</f>
        <v xml:space="preserve">                          </v>
      </c>
      <c r="I21" s="3" t="s">
        <v>0</v>
      </c>
      <c r="J21" s="2" t="str">
        <f>TEXT(Sheet1!E18,"HH:MM")&amp;" "</f>
        <v xml:space="preserve">00:00 </v>
      </c>
      <c r="K21" s="3" t="s">
        <v>0</v>
      </c>
    </row>
    <row r="22" spans="1:11">
      <c r="A22" t="s">
        <v>0</v>
      </c>
      <c r="B22">
        <f>Sheet1!A19</f>
        <v>0</v>
      </c>
      <c r="C22" s="3" t="s">
        <v>0</v>
      </c>
      <c r="D22" t="str">
        <f>LEFTB(Sheet1!B19&amp;REPT(" ",$D$2),$D$2)</f>
        <v xml:space="preserve">                                </v>
      </c>
      <c r="E22" s="3" t="s">
        <v>0</v>
      </c>
      <c r="F22" t="str">
        <f>" "&amp;LEFTB(Sheet1!C19&amp;REPT(" ",$F$2),$F$2)</f>
        <v xml:space="preserve">                                                                                                                                                                                                                                                                                                          </v>
      </c>
      <c r="G22" s="3" t="s">
        <v>0</v>
      </c>
      <c r="H22" t="str">
        <f>LEFTB(Sheet1!D19&amp;REPT(" ",$H$2),$H$2)</f>
        <v xml:space="preserve">                          </v>
      </c>
      <c r="I22" s="3" t="s">
        <v>0</v>
      </c>
      <c r="J22" s="2" t="str">
        <f>TEXT(Sheet1!E19,"HH:MM")&amp;" "</f>
        <v xml:space="preserve">00:00 </v>
      </c>
      <c r="K22" s="3" t="s">
        <v>0</v>
      </c>
    </row>
    <row r="23" spans="1:11">
      <c r="A23" t="s">
        <v>0</v>
      </c>
      <c r="B23">
        <f>Sheet1!A20</f>
        <v>0</v>
      </c>
      <c r="C23" s="3" t="s">
        <v>0</v>
      </c>
      <c r="D23" t="str">
        <f>LEFTB(Sheet1!B20&amp;REPT(" ",$D$2),$D$2)</f>
        <v xml:space="preserve">                                </v>
      </c>
      <c r="E23" s="3" t="s">
        <v>0</v>
      </c>
      <c r="F23" t="str">
        <f>" "&amp;LEFTB(Sheet1!C20&amp;REPT(" ",$F$2),$F$2)</f>
        <v xml:space="preserve">                                                                                                                                                                                                                                                                                                          </v>
      </c>
      <c r="G23" s="3" t="s">
        <v>0</v>
      </c>
      <c r="H23" t="str">
        <f>LEFTB(Sheet1!D20&amp;REPT(" ",$H$2),$H$2)</f>
        <v xml:space="preserve">                          </v>
      </c>
      <c r="I23" s="3" t="s">
        <v>0</v>
      </c>
      <c r="J23" s="2" t="str">
        <f>TEXT(Sheet1!E20,"HH:MM")&amp;" "</f>
        <v xml:space="preserve">00:00 </v>
      </c>
      <c r="K23" s="3" t="s">
        <v>0</v>
      </c>
    </row>
    <row r="24" spans="1:11">
      <c r="A24" t="s">
        <v>0</v>
      </c>
      <c r="B24">
        <f>Sheet1!A21</f>
        <v>0</v>
      </c>
      <c r="C24" s="3" t="s">
        <v>0</v>
      </c>
      <c r="D24" t="str">
        <f>LEFTB(Sheet1!B21&amp;REPT(" ",$D$2),$D$2)</f>
        <v xml:space="preserve">                                </v>
      </c>
      <c r="E24" s="3" t="s">
        <v>0</v>
      </c>
      <c r="F24" t="str">
        <f>" "&amp;LEFTB(Sheet1!C21&amp;REPT(" ",$F$2),$F$2)</f>
        <v xml:space="preserve">                                                                                                                                                                                                                                                                                                          </v>
      </c>
      <c r="G24" s="3" t="s">
        <v>0</v>
      </c>
      <c r="H24" t="str">
        <f>LEFTB(Sheet1!D21&amp;REPT(" ",$H$2),$H$2)</f>
        <v xml:space="preserve">                          </v>
      </c>
      <c r="I24" s="3" t="s">
        <v>0</v>
      </c>
      <c r="J24" s="2" t="str">
        <f>TEXT(Sheet1!E21,"HH:MM")&amp;" "</f>
        <v xml:space="preserve">00:00 </v>
      </c>
      <c r="K24" s="3" t="s">
        <v>0</v>
      </c>
    </row>
    <row r="25" spans="1:11">
      <c r="A25" t="s">
        <v>0</v>
      </c>
      <c r="B25">
        <f>Sheet1!A22</f>
        <v>0</v>
      </c>
      <c r="C25" s="3" t="s">
        <v>0</v>
      </c>
      <c r="D25" t="str">
        <f>LEFTB(Sheet1!B22&amp;REPT(" ",$D$2),$D$2)</f>
        <v xml:space="preserve">                                </v>
      </c>
      <c r="E25" s="3" t="s">
        <v>0</v>
      </c>
      <c r="F25" t="str">
        <f>" "&amp;LEFTB(Sheet1!C22&amp;REPT(" ",$F$2),$F$2)</f>
        <v xml:space="preserve">                                                                                                                                                                                                                                                                                                          </v>
      </c>
      <c r="G25" s="3" t="s">
        <v>0</v>
      </c>
      <c r="H25" t="str">
        <f>LEFTB(Sheet1!D22&amp;REPT(" ",$H$2),$H$2)</f>
        <v xml:space="preserve">                          </v>
      </c>
      <c r="I25" s="3" t="s">
        <v>0</v>
      </c>
      <c r="J25" s="2" t="str">
        <f>TEXT(Sheet1!E22,"HH:MM")&amp;" "</f>
        <v xml:space="preserve">00:00 </v>
      </c>
      <c r="K25" s="3" t="s">
        <v>0</v>
      </c>
    </row>
    <row r="26" spans="1:11">
      <c r="A26" t="s">
        <v>0</v>
      </c>
      <c r="B26">
        <f>Sheet1!A23</f>
        <v>0</v>
      </c>
      <c r="C26" s="3" t="s">
        <v>0</v>
      </c>
      <c r="D26" t="str">
        <f>LEFTB(Sheet1!B23&amp;REPT(" ",$D$2),$D$2)</f>
        <v xml:space="preserve">                                </v>
      </c>
      <c r="E26" s="3" t="s">
        <v>0</v>
      </c>
      <c r="F26" t="str">
        <f>" "&amp;LEFTB(Sheet1!C23&amp;REPT(" ",$F$2),$F$2)</f>
        <v xml:space="preserve">                                                                                                                                                                                                                                                                                                          </v>
      </c>
      <c r="G26" s="3" t="s">
        <v>0</v>
      </c>
      <c r="H26" t="str">
        <f>LEFTB(Sheet1!D23&amp;REPT(" ",$H$2),$H$2)</f>
        <v xml:space="preserve">                          </v>
      </c>
      <c r="I26" s="3" t="s">
        <v>0</v>
      </c>
      <c r="J26" s="2" t="str">
        <f>TEXT(Sheet1!E23,"HH:MM")&amp;" "</f>
        <v xml:space="preserve">00:00 </v>
      </c>
      <c r="K26" s="3" t="s">
        <v>0</v>
      </c>
    </row>
    <row r="27" spans="1:11">
      <c r="A27" t="s">
        <v>0</v>
      </c>
      <c r="B27">
        <f>Sheet1!A24</f>
        <v>0</v>
      </c>
      <c r="C27" s="3" t="s">
        <v>0</v>
      </c>
      <c r="D27" t="str">
        <f>LEFTB(Sheet1!B24&amp;REPT(" ",$D$2),$D$2)</f>
        <v xml:space="preserve">                                </v>
      </c>
      <c r="E27" s="3" t="s">
        <v>0</v>
      </c>
      <c r="F27" t="str">
        <f>" "&amp;LEFTB(Sheet1!C24&amp;REPT(" ",$F$2),$F$2)</f>
        <v xml:space="preserve">                                                                                                                                                                                                                                                                                                          </v>
      </c>
      <c r="G27" s="3" t="s">
        <v>0</v>
      </c>
      <c r="H27" t="str">
        <f>LEFTB(Sheet1!D24&amp;REPT(" ",$H$2),$H$2)</f>
        <v xml:space="preserve">                          </v>
      </c>
      <c r="I27" s="3" t="s">
        <v>0</v>
      </c>
      <c r="J27" s="2" t="str">
        <f>TEXT(Sheet1!E24,"HH:MM")&amp;" "</f>
        <v xml:space="preserve">00:00 </v>
      </c>
      <c r="K27" s="3" t="s">
        <v>0</v>
      </c>
    </row>
    <row r="28" spans="1:11">
      <c r="A28" t="s">
        <v>0</v>
      </c>
      <c r="B28">
        <f>Sheet1!A25</f>
        <v>0</v>
      </c>
      <c r="C28" s="3" t="s">
        <v>0</v>
      </c>
      <c r="D28" t="str">
        <f>LEFTB(Sheet1!B25&amp;REPT(" ",$D$2),$D$2)</f>
        <v xml:space="preserve">                                </v>
      </c>
      <c r="E28" s="3" t="s">
        <v>0</v>
      </c>
      <c r="F28" t="str">
        <f>" "&amp;LEFTB(Sheet1!C25&amp;REPT(" ",$F$2),$F$2)</f>
        <v xml:space="preserve">                                                                                                                                                                                                                                                                                                          </v>
      </c>
      <c r="G28" s="3" t="s">
        <v>0</v>
      </c>
      <c r="H28" t="str">
        <f>LEFTB(Sheet1!D25&amp;REPT(" ",$H$2),$H$2)</f>
        <v xml:space="preserve">                          </v>
      </c>
      <c r="I28" s="3" t="s">
        <v>0</v>
      </c>
      <c r="J28" s="2" t="str">
        <f>TEXT(Sheet1!E25,"HH:MM")&amp;" "</f>
        <v xml:space="preserve">00:00 </v>
      </c>
      <c r="K28" s="3" t="s">
        <v>0</v>
      </c>
    </row>
    <row r="29" spans="1:11">
      <c r="A29" t="s">
        <v>0</v>
      </c>
      <c r="B29">
        <f>Sheet1!A26</f>
        <v>0</v>
      </c>
      <c r="C29" s="3" t="s">
        <v>0</v>
      </c>
      <c r="D29" t="str">
        <f>LEFTB(Sheet1!B26&amp;REPT(" ",$D$2),$D$2)</f>
        <v xml:space="preserve">                                </v>
      </c>
      <c r="E29" s="3" t="s">
        <v>0</v>
      </c>
      <c r="F29" t="str">
        <f>" "&amp;LEFTB(Sheet1!C26&amp;REPT(" ",$F$2),$F$2)</f>
        <v xml:space="preserve">                                                                                                                                                                                                                                                                                                          </v>
      </c>
      <c r="G29" s="3" t="s">
        <v>0</v>
      </c>
      <c r="H29" t="str">
        <f>LEFTB(Sheet1!D26&amp;REPT(" ",$H$2),$H$2)</f>
        <v xml:space="preserve">                          </v>
      </c>
      <c r="I29" s="3" t="s">
        <v>0</v>
      </c>
      <c r="J29" s="2" t="str">
        <f>TEXT(Sheet1!E26,"HH:MM")&amp;" "</f>
        <v xml:space="preserve">00:00 </v>
      </c>
      <c r="K29" s="3" t="s">
        <v>0</v>
      </c>
    </row>
    <row r="30" spans="1:11">
      <c r="A30" t="s">
        <v>0</v>
      </c>
      <c r="B30">
        <f>Sheet1!A27</f>
        <v>0</v>
      </c>
      <c r="C30" s="3" t="s">
        <v>0</v>
      </c>
      <c r="D30" t="str">
        <f>LEFTB(Sheet1!B27&amp;REPT(" ",$D$2),$D$2)</f>
        <v xml:space="preserve">                                </v>
      </c>
      <c r="E30" s="3" t="s">
        <v>0</v>
      </c>
      <c r="F30" t="str">
        <f>" "&amp;LEFTB(Sheet1!C27&amp;REPT(" ",$F$2),$F$2)</f>
        <v xml:space="preserve">                                                                                                                                                                                                                                                                                                          </v>
      </c>
      <c r="G30" s="3" t="s">
        <v>0</v>
      </c>
      <c r="H30" t="str">
        <f>LEFTB(Sheet1!D27&amp;REPT(" ",$H$2),$H$2)</f>
        <v xml:space="preserve">                          </v>
      </c>
      <c r="I30" s="3" t="s">
        <v>0</v>
      </c>
      <c r="J30" s="2" t="str">
        <f>TEXT(Sheet1!E27,"HH:MM")&amp;" "</f>
        <v xml:space="preserve">00:00 </v>
      </c>
      <c r="K30" s="3" t="s">
        <v>0</v>
      </c>
    </row>
    <row r="31" spans="1:11">
      <c r="A31" t="s">
        <v>0</v>
      </c>
      <c r="B31">
        <f>Sheet1!A28</f>
        <v>0</v>
      </c>
      <c r="C31" s="3" t="s">
        <v>0</v>
      </c>
      <c r="D31" t="str">
        <f>LEFTB(Sheet1!B28&amp;REPT(" ",$D$2),$D$2)</f>
        <v xml:space="preserve">                                </v>
      </c>
      <c r="E31" s="3" t="s">
        <v>0</v>
      </c>
      <c r="F31" t="str">
        <f>" "&amp;LEFTB(Sheet1!C28&amp;REPT(" ",$F$2),$F$2)</f>
        <v xml:space="preserve">                                                                                                                                                                                                                                                                                                          </v>
      </c>
      <c r="G31" s="3" t="s">
        <v>0</v>
      </c>
      <c r="H31" t="str">
        <f>LEFTB(Sheet1!D28&amp;REPT(" ",$H$2),$H$2)</f>
        <v xml:space="preserve">                          </v>
      </c>
      <c r="I31" s="3" t="s">
        <v>0</v>
      </c>
      <c r="J31" s="2" t="str">
        <f>TEXT(Sheet1!E28,"HH:MM")&amp;" "</f>
        <v xml:space="preserve">00:00 </v>
      </c>
      <c r="K31" s="3" t="s">
        <v>0</v>
      </c>
    </row>
    <row r="32" spans="1:11">
      <c r="A32" t="s">
        <v>0</v>
      </c>
      <c r="B32">
        <f>Sheet1!A29</f>
        <v>0</v>
      </c>
      <c r="C32" s="3" t="s">
        <v>0</v>
      </c>
      <c r="D32" t="str">
        <f>LEFTB(Sheet1!B29&amp;REPT(" ",$D$2),$D$2)</f>
        <v xml:space="preserve">                                </v>
      </c>
      <c r="E32" s="3" t="s">
        <v>0</v>
      </c>
      <c r="F32" t="str">
        <f>" "&amp;LEFTB(Sheet1!C29&amp;REPT(" ",$F$2),$F$2)</f>
        <v xml:space="preserve">                                                                                                                                                                                                                                                                                                          </v>
      </c>
      <c r="G32" s="3" t="s">
        <v>0</v>
      </c>
      <c r="H32" t="str">
        <f>LEFTB(Sheet1!D29&amp;REPT(" ",$H$2),$H$2)</f>
        <v xml:space="preserve">                          </v>
      </c>
      <c r="I32" s="3" t="s">
        <v>0</v>
      </c>
      <c r="J32" s="2" t="str">
        <f>TEXT(Sheet1!E29,"HH:MM")&amp;" "</f>
        <v xml:space="preserve">00:00 </v>
      </c>
      <c r="K32" s="3" t="s">
        <v>0</v>
      </c>
    </row>
    <row r="33" spans="1:11">
      <c r="A33" t="s">
        <v>0</v>
      </c>
      <c r="B33">
        <f>Sheet1!A30</f>
        <v>0</v>
      </c>
      <c r="C33" s="3" t="s">
        <v>0</v>
      </c>
      <c r="D33" t="str">
        <f>LEFTB(Sheet1!B30&amp;REPT(" ",$D$2),$D$2)</f>
        <v xml:space="preserve">                                </v>
      </c>
      <c r="E33" s="3" t="s">
        <v>0</v>
      </c>
      <c r="F33" t="str">
        <f>" "&amp;LEFTB(Sheet1!C30&amp;REPT(" ",$F$2),$F$2)</f>
        <v xml:space="preserve">                                                                                                                                                                                                                                                                                                          </v>
      </c>
      <c r="G33" s="3" t="s">
        <v>0</v>
      </c>
      <c r="H33" t="str">
        <f>LEFTB(Sheet1!D30&amp;REPT(" ",$H$2),$H$2)</f>
        <v xml:space="preserve">                          </v>
      </c>
      <c r="I33" s="3" t="s">
        <v>0</v>
      </c>
      <c r="J33" s="2" t="str">
        <f>TEXT(Sheet1!E30,"HH:MM")&amp;" "</f>
        <v xml:space="preserve">00:00 </v>
      </c>
      <c r="K33" s="3" t="s">
        <v>0</v>
      </c>
    </row>
    <row r="34" spans="1:11">
      <c r="A34" t="s">
        <v>0</v>
      </c>
      <c r="B34">
        <f>Sheet1!A31</f>
        <v>0</v>
      </c>
      <c r="C34" s="3" t="s">
        <v>0</v>
      </c>
      <c r="D34" t="str">
        <f>LEFTB(Sheet1!B31&amp;REPT(" ",$D$2),$D$2)</f>
        <v xml:space="preserve">                                </v>
      </c>
      <c r="E34" s="3" t="s">
        <v>0</v>
      </c>
      <c r="F34" t="str">
        <f>" "&amp;LEFTB(Sheet1!C31&amp;REPT(" ",$F$2),$F$2)</f>
        <v xml:space="preserve">                                                                                                                                                                                                                                                                                                          </v>
      </c>
      <c r="G34" s="3" t="s">
        <v>0</v>
      </c>
      <c r="H34" t="str">
        <f>LEFTB(Sheet1!D31&amp;REPT(" ",$H$2),$H$2)</f>
        <v xml:space="preserve">                          </v>
      </c>
      <c r="I34" s="3" t="s">
        <v>0</v>
      </c>
      <c r="J34" s="2" t="str">
        <f>TEXT(Sheet1!E31,"HH:MM")&amp;" "</f>
        <v xml:space="preserve">00:00 </v>
      </c>
      <c r="K34" s="3" t="s">
        <v>0</v>
      </c>
    </row>
  </sheetData>
  <phoneticPr fontId="1"/>
  <pageMargins left="0.7" right="0.7" top="0.75" bottom="0.75" header="0.3" footer="0.3"/>
  <pageSetup paperSize="9" orientation="portrait" horizontalDpi="200" verticalDpi="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9E349-02F1-42AE-9DE2-C2E05963DCB3}">
  <dimension ref="A1:E28"/>
  <sheetViews>
    <sheetView topLeftCell="A16" workbookViewId="0">
      <selection activeCell="A17" sqref="A17:XFD28"/>
    </sheetView>
  </sheetViews>
  <sheetFormatPr defaultRowHeight="19.3"/>
  <cols>
    <col min="1" max="1" width="10.375" bestFit="1" customWidth="1"/>
    <col min="2" max="2" width="27.1875" bestFit="1" customWidth="1"/>
    <col min="3" max="3" width="80.5" bestFit="1" customWidth="1"/>
    <col min="4" max="4" width="22.8125" bestFit="1" customWidth="1"/>
    <col min="5" max="5" width="10.375" bestFit="1" customWidth="1"/>
  </cols>
  <sheetData>
    <row r="1" spans="1:5">
      <c r="A1" t="s">
        <v>7</v>
      </c>
      <c r="B1" t="s">
        <v>34</v>
      </c>
      <c r="C1" t="s">
        <v>35</v>
      </c>
      <c r="D1" t="s">
        <v>36</v>
      </c>
      <c r="E1" t="s">
        <v>37</v>
      </c>
    </row>
    <row r="2" spans="1:5">
      <c r="A2" s="6" t="s">
        <v>38</v>
      </c>
      <c r="B2" s="6" t="s">
        <v>4</v>
      </c>
      <c r="C2" s="6" t="s">
        <v>3</v>
      </c>
      <c r="D2" s="6" t="s">
        <v>6</v>
      </c>
      <c r="E2" s="6" t="s">
        <v>5</v>
      </c>
    </row>
    <row r="3" spans="1:5">
      <c r="A3" s="6" t="s">
        <v>39</v>
      </c>
      <c r="B3" s="6" t="s">
        <v>39</v>
      </c>
      <c r="C3" s="6" t="s">
        <v>39</v>
      </c>
      <c r="D3" s="6" t="s">
        <v>39</v>
      </c>
      <c r="E3" s="6" t="s">
        <v>39</v>
      </c>
    </row>
    <row r="4" spans="1:5">
      <c r="A4" s="6" t="s">
        <v>40</v>
      </c>
      <c r="B4" s="6" t="s">
        <v>41</v>
      </c>
      <c r="C4" s="6" t="s">
        <v>42</v>
      </c>
      <c r="D4" s="6" t="s">
        <v>43</v>
      </c>
      <c r="E4" s="6" t="s">
        <v>44</v>
      </c>
    </row>
    <row r="5" spans="1:5">
      <c r="A5" s="6" t="s">
        <v>45</v>
      </c>
      <c r="B5" s="6" t="s">
        <v>46</v>
      </c>
      <c r="C5" s="6" t="s">
        <v>47</v>
      </c>
      <c r="D5" s="6" t="s">
        <v>43</v>
      </c>
      <c r="E5" s="6" t="s">
        <v>48</v>
      </c>
    </row>
    <row r="6" spans="1:5">
      <c r="A6" s="6" t="s">
        <v>49</v>
      </c>
      <c r="B6" s="6" t="s">
        <v>50</v>
      </c>
      <c r="C6" s="6" t="s">
        <v>51</v>
      </c>
      <c r="D6" s="6" t="s">
        <v>43</v>
      </c>
      <c r="E6" s="6" t="s">
        <v>52</v>
      </c>
    </row>
    <row r="7" spans="1:5">
      <c r="A7" s="6" t="s">
        <v>53</v>
      </c>
      <c r="B7" s="6" t="s">
        <v>54</v>
      </c>
      <c r="C7" s="6" t="s">
        <v>55</v>
      </c>
      <c r="D7" s="6" t="s">
        <v>56</v>
      </c>
      <c r="E7" s="6" t="s">
        <v>57</v>
      </c>
    </row>
    <row r="8" spans="1:5">
      <c r="A8" s="6" t="s">
        <v>58</v>
      </c>
      <c r="B8" s="6" t="s">
        <v>59</v>
      </c>
      <c r="C8" s="6" t="s">
        <v>60</v>
      </c>
      <c r="D8" s="6" t="s">
        <v>43</v>
      </c>
      <c r="E8" s="6" t="s">
        <v>61</v>
      </c>
    </row>
    <row r="9" spans="1:5">
      <c r="A9" s="6" t="s">
        <v>62</v>
      </c>
      <c r="B9" s="6" t="s">
        <v>63</v>
      </c>
      <c r="C9" s="6" t="s">
        <v>64</v>
      </c>
      <c r="D9" s="6" t="s">
        <v>65</v>
      </c>
      <c r="E9" s="6" t="s">
        <v>66</v>
      </c>
    </row>
    <row r="10" spans="1:5">
      <c r="A10" s="6" t="s">
        <v>67</v>
      </c>
      <c r="B10" s="6" t="s">
        <v>68</v>
      </c>
      <c r="C10" s="6" t="s">
        <v>69</v>
      </c>
      <c r="D10" s="6" t="s">
        <v>70</v>
      </c>
      <c r="E10" s="6" t="s">
        <v>71</v>
      </c>
    </row>
    <row r="11" spans="1:5">
      <c r="A11" s="6" t="s">
        <v>72</v>
      </c>
      <c r="B11" s="6" t="s">
        <v>73</v>
      </c>
      <c r="C11" s="6" t="s">
        <v>74</v>
      </c>
      <c r="D11" s="6" t="s">
        <v>43</v>
      </c>
      <c r="E11" s="6" t="s">
        <v>75</v>
      </c>
    </row>
    <row r="12" spans="1:5">
      <c r="A12" s="6" t="s">
        <v>76</v>
      </c>
      <c r="B12" s="6" t="s">
        <v>77</v>
      </c>
      <c r="C12" s="6" t="s">
        <v>78</v>
      </c>
      <c r="D12" s="6" t="s">
        <v>43</v>
      </c>
      <c r="E12" s="6" t="s">
        <v>79</v>
      </c>
    </row>
    <row r="13" spans="1:5">
      <c r="A13" s="6" t="s">
        <v>80</v>
      </c>
      <c r="B13" s="6" t="s">
        <v>81</v>
      </c>
      <c r="C13" s="6" t="s">
        <v>82</v>
      </c>
      <c r="D13" s="6" t="s">
        <v>43</v>
      </c>
      <c r="E13" s="6" t="s">
        <v>79</v>
      </c>
    </row>
    <row r="14" spans="1:5">
      <c r="A14" s="6" t="s">
        <v>83</v>
      </c>
      <c r="B14" s="6" t="s">
        <v>84</v>
      </c>
      <c r="C14" s="6" t="s">
        <v>85</v>
      </c>
      <c r="D14" s="6" t="s">
        <v>43</v>
      </c>
      <c r="E14" s="6" t="s">
        <v>86</v>
      </c>
    </row>
    <row r="15" spans="1:5">
      <c r="A15" s="6" t="s">
        <v>87</v>
      </c>
      <c r="B15" s="6" t="s">
        <v>88</v>
      </c>
      <c r="C15" s="6" t="s">
        <v>89</v>
      </c>
      <c r="D15" s="6" t="s">
        <v>43</v>
      </c>
      <c r="E15" s="6" t="s">
        <v>90</v>
      </c>
    </row>
    <row r="16" spans="1:5">
      <c r="A16" s="6" t="s">
        <v>91</v>
      </c>
      <c r="B16" s="6" t="s">
        <v>91</v>
      </c>
      <c r="C16" s="6" t="s">
        <v>91</v>
      </c>
      <c r="D16" s="6" t="s">
        <v>91</v>
      </c>
      <c r="E16" s="6" t="s">
        <v>91</v>
      </c>
    </row>
    <row r="17" spans="1:5">
      <c r="A17" s="6" t="s">
        <v>40</v>
      </c>
      <c r="B17" s="6" t="s">
        <v>92</v>
      </c>
      <c r="C17" s="6" t="s">
        <v>93</v>
      </c>
      <c r="D17" s="6" t="s">
        <v>43</v>
      </c>
      <c r="E17" s="6" t="s">
        <v>94</v>
      </c>
    </row>
    <row r="18" spans="1:5">
      <c r="A18" s="6" t="s">
        <v>45</v>
      </c>
      <c r="B18" s="6" t="s">
        <v>95</v>
      </c>
      <c r="C18" s="6" t="s">
        <v>96</v>
      </c>
      <c r="D18" s="6" t="s">
        <v>43</v>
      </c>
      <c r="E18" s="6" t="s">
        <v>97</v>
      </c>
    </row>
    <row r="19" spans="1:5">
      <c r="A19" s="6" t="s">
        <v>49</v>
      </c>
      <c r="B19" s="6" t="s">
        <v>98</v>
      </c>
      <c r="C19" s="6" t="s">
        <v>99</v>
      </c>
      <c r="D19" s="6" t="s">
        <v>100</v>
      </c>
      <c r="E19" s="6" t="s">
        <v>101</v>
      </c>
    </row>
    <row r="20" spans="1:5">
      <c r="A20" s="6" t="s">
        <v>53</v>
      </c>
      <c r="B20" s="6" t="s">
        <v>102</v>
      </c>
      <c r="C20" s="6" t="s">
        <v>103</v>
      </c>
      <c r="D20" s="6" t="s">
        <v>104</v>
      </c>
      <c r="E20" s="6" t="s">
        <v>105</v>
      </c>
    </row>
    <row r="21" spans="1:5">
      <c r="A21" s="6" t="s">
        <v>58</v>
      </c>
      <c r="B21" s="6" t="s">
        <v>106</v>
      </c>
      <c r="C21" s="6" t="s">
        <v>107</v>
      </c>
      <c r="D21" s="6" t="s">
        <v>43</v>
      </c>
      <c r="E21" s="6" t="s">
        <v>108</v>
      </c>
    </row>
    <row r="22" spans="1:5">
      <c r="A22" s="6" t="s">
        <v>62</v>
      </c>
      <c r="B22" s="6" t="s">
        <v>109</v>
      </c>
      <c r="C22" s="6" t="s">
        <v>110</v>
      </c>
      <c r="D22" s="6" t="s">
        <v>111</v>
      </c>
      <c r="E22" s="6" t="s">
        <v>112</v>
      </c>
    </row>
    <row r="23" spans="1:5">
      <c r="A23" s="6" t="s">
        <v>67</v>
      </c>
      <c r="B23" s="6" t="s">
        <v>113</v>
      </c>
      <c r="C23" s="6" t="s">
        <v>114</v>
      </c>
      <c r="D23" s="6" t="s">
        <v>43</v>
      </c>
      <c r="E23" s="6" t="s">
        <v>115</v>
      </c>
    </row>
    <row r="24" spans="1:5">
      <c r="A24" s="6" t="s">
        <v>72</v>
      </c>
      <c r="B24" s="6" t="s">
        <v>116</v>
      </c>
      <c r="C24" s="6" t="s">
        <v>117</v>
      </c>
      <c r="D24" s="6" t="s">
        <v>43</v>
      </c>
      <c r="E24" s="6" t="s">
        <v>118</v>
      </c>
    </row>
    <row r="25" spans="1:5">
      <c r="A25" s="6" t="s">
        <v>76</v>
      </c>
      <c r="B25" s="6" t="s">
        <v>119</v>
      </c>
      <c r="C25" s="6" t="s">
        <v>120</v>
      </c>
      <c r="D25" s="6" t="s">
        <v>121</v>
      </c>
      <c r="E25" s="6" t="s">
        <v>122</v>
      </c>
    </row>
    <row r="26" spans="1:5">
      <c r="A26" s="6" t="s">
        <v>80</v>
      </c>
      <c r="B26" s="6" t="s">
        <v>123</v>
      </c>
      <c r="C26" s="6" t="s">
        <v>124</v>
      </c>
      <c r="D26" s="6" t="s">
        <v>43</v>
      </c>
      <c r="E26" s="6" t="s">
        <v>125</v>
      </c>
    </row>
    <row r="27" spans="1:5">
      <c r="A27" s="6" t="s">
        <v>83</v>
      </c>
      <c r="B27" s="6" t="s">
        <v>126</v>
      </c>
      <c r="C27" s="6" t="s">
        <v>127</v>
      </c>
      <c r="D27" s="6" t="s">
        <v>43</v>
      </c>
      <c r="E27" s="6" t="s">
        <v>128</v>
      </c>
    </row>
    <row r="28" spans="1:5">
      <c r="A28" s="6" t="s">
        <v>87</v>
      </c>
      <c r="B28" s="6" t="s">
        <v>129</v>
      </c>
      <c r="C28" s="6" t="s">
        <v>130</v>
      </c>
      <c r="D28" s="6" t="s">
        <v>43</v>
      </c>
      <c r="E28" s="6" t="s">
        <v>131</v>
      </c>
    </row>
  </sheetData>
  <phoneticPr fontId="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782A7-E845-441D-90DC-630EE8531BBB}">
  <dimension ref="A1:E13"/>
  <sheetViews>
    <sheetView workbookViewId="0">
      <selection sqref="A1:XFD1048576"/>
    </sheetView>
  </sheetViews>
  <sheetFormatPr defaultRowHeight="19.3"/>
  <cols>
    <col min="1" max="1" width="10.375" bestFit="1" customWidth="1"/>
    <col min="2" max="2" width="22.6875" bestFit="1" customWidth="1"/>
    <col min="3" max="3" width="80.5" bestFit="1" customWidth="1"/>
    <col min="4" max="4" width="26.375" bestFit="1" customWidth="1"/>
    <col min="5" max="5" width="7.0625" bestFit="1" customWidth="1"/>
  </cols>
  <sheetData>
    <row r="1" spans="1:5">
      <c r="A1" t="s">
        <v>7</v>
      </c>
      <c r="B1" t="s">
        <v>4</v>
      </c>
      <c r="C1" t="s">
        <v>3</v>
      </c>
      <c r="D1" t="s">
        <v>6</v>
      </c>
      <c r="E1" t="s">
        <v>5</v>
      </c>
    </row>
    <row r="2" spans="1:5">
      <c r="A2">
        <v>1</v>
      </c>
      <c r="B2" t="s">
        <v>8</v>
      </c>
      <c r="C2" t="s">
        <v>9</v>
      </c>
      <c r="D2" t="s">
        <v>10</v>
      </c>
      <c r="E2" s="5">
        <v>0.16458333333333333</v>
      </c>
    </row>
    <row r="3" spans="1:5">
      <c r="A3">
        <v>2</v>
      </c>
      <c r="B3" t="s">
        <v>11</v>
      </c>
      <c r="C3" t="s">
        <v>12</v>
      </c>
      <c r="D3" t="s">
        <v>10</v>
      </c>
      <c r="E3" s="5">
        <v>0.1451388888888889</v>
      </c>
    </row>
    <row r="4" spans="1:5">
      <c r="A4">
        <v>3</v>
      </c>
      <c r="B4" t="s">
        <v>13</v>
      </c>
      <c r="C4" t="s">
        <v>14</v>
      </c>
      <c r="D4" t="s">
        <v>10</v>
      </c>
      <c r="E4" s="5">
        <v>0.15</v>
      </c>
    </row>
    <row r="5" spans="1:5">
      <c r="A5">
        <v>4</v>
      </c>
      <c r="B5" t="s">
        <v>15</v>
      </c>
      <c r="C5" t="s">
        <v>16</v>
      </c>
      <c r="D5" t="s">
        <v>10</v>
      </c>
      <c r="E5" s="5">
        <v>0.15763888888888888</v>
      </c>
    </row>
    <row r="6" spans="1:5">
      <c r="A6">
        <v>5</v>
      </c>
      <c r="B6" t="s">
        <v>17</v>
      </c>
      <c r="C6" t="s">
        <v>18</v>
      </c>
      <c r="D6" t="s">
        <v>10</v>
      </c>
      <c r="E6" s="5">
        <v>0.15069444444444444</v>
      </c>
    </row>
    <row r="7" spans="1:5">
      <c r="A7">
        <v>6</v>
      </c>
      <c r="B7" t="s">
        <v>19</v>
      </c>
      <c r="C7" t="s">
        <v>20</v>
      </c>
      <c r="D7" t="s">
        <v>10</v>
      </c>
      <c r="E7" s="5">
        <v>0.16527777777777777</v>
      </c>
    </row>
    <row r="8" spans="1:5">
      <c r="A8">
        <v>7</v>
      </c>
      <c r="B8" t="s">
        <v>21</v>
      </c>
      <c r="C8" t="s">
        <v>22</v>
      </c>
      <c r="D8" t="s">
        <v>10</v>
      </c>
      <c r="E8" s="5">
        <v>0.17083333333333334</v>
      </c>
    </row>
    <row r="9" spans="1:5">
      <c r="A9">
        <v>8</v>
      </c>
      <c r="B9" t="s">
        <v>23</v>
      </c>
      <c r="C9" t="s">
        <v>24</v>
      </c>
      <c r="D9" t="s">
        <v>10</v>
      </c>
      <c r="E9" s="5">
        <v>0.14861111111111111</v>
      </c>
    </row>
    <row r="10" spans="1:5">
      <c r="A10">
        <v>9</v>
      </c>
      <c r="B10" t="s">
        <v>25</v>
      </c>
      <c r="C10" t="s">
        <v>26</v>
      </c>
      <c r="D10" t="s">
        <v>10</v>
      </c>
      <c r="E10" s="5">
        <v>0.14166666666666666</v>
      </c>
    </row>
    <row r="11" spans="1:5">
      <c r="A11">
        <v>10</v>
      </c>
      <c r="B11" t="s">
        <v>27</v>
      </c>
      <c r="C11" t="s">
        <v>28</v>
      </c>
      <c r="D11" t="s">
        <v>10</v>
      </c>
      <c r="E11" s="5">
        <v>0.15902777777777777</v>
      </c>
    </row>
    <row r="12" spans="1:5">
      <c r="A12">
        <v>11</v>
      </c>
      <c r="B12" t="s">
        <v>29</v>
      </c>
      <c r="C12" t="s">
        <v>30</v>
      </c>
      <c r="D12" t="s">
        <v>31</v>
      </c>
      <c r="E12" s="5">
        <v>0.16180555555555556</v>
      </c>
    </row>
    <row r="13" spans="1:5">
      <c r="A13">
        <v>12</v>
      </c>
      <c r="B13" t="s">
        <v>32</v>
      </c>
      <c r="C13" t="s">
        <v>33</v>
      </c>
      <c r="D13" t="s">
        <v>10</v>
      </c>
      <c r="E13" s="5">
        <v>0.21944444444444444</v>
      </c>
    </row>
  </sheetData>
  <phoneticPr fontId="1"/>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2A283-62B8-4E38-BA0A-C0053E2ABBEE}">
  <dimension ref="E2:E15"/>
  <sheetViews>
    <sheetView workbookViewId="0"/>
  </sheetViews>
  <sheetFormatPr defaultRowHeight="19.3"/>
  <cols>
    <col min="1" max="1" width="11" bestFit="1" customWidth="1"/>
    <col min="2" max="2" width="22.6875" bestFit="1" customWidth="1"/>
    <col min="3" max="3" width="58.6875" bestFit="1" customWidth="1"/>
    <col min="4" max="4" width="47.6875" bestFit="1" customWidth="1"/>
    <col min="5" max="5" width="7.75" bestFit="1" customWidth="1"/>
  </cols>
  <sheetData>
    <row r="2" spans="5:5">
      <c r="E2" s="5"/>
    </row>
    <row r="3" spans="5:5">
      <c r="E3" s="5"/>
    </row>
    <row r="4" spans="5:5">
      <c r="E4" s="5"/>
    </row>
    <row r="5" spans="5:5">
      <c r="E5" s="5"/>
    </row>
    <row r="6" spans="5:5">
      <c r="E6" s="5"/>
    </row>
    <row r="7" spans="5:5">
      <c r="E7" s="5"/>
    </row>
    <row r="8" spans="5:5">
      <c r="E8" s="5"/>
    </row>
    <row r="9" spans="5:5">
      <c r="E9" s="5"/>
    </row>
    <row r="10" spans="5:5">
      <c r="E10" s="5"/>
    </row>
    <row r="11" spans="5:5">
      <c r="E11" s="5"/>
    </row>
    <row r="12" spans="5:5">
      <c r="E12" s="5"/>
    </row>
    <row r="13" spans="5:5">
      <c r="E13" s="5"/>
    </row>
    <row r="14" spans="5:5">
      <c r="E14" s="5"/>
    </row>
    <row r="15" spans="5:5">
      <c r="E15" s="5"/>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E5770-8EFB-4435-AF37-0E4A6E2C9DAD}">
  <dimension ref="A1"/>
  <sheetViews>
    <sheetView workbookViewId="0"/>
  </sheetViews>
  <sheetFormatPr defaultRowHeight="19.3"/>
  <sheetData/>
  <phoneticPr fontId="1"/>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35356AA-48A3-43B8-AC21-6CF0F69D2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6</vt:i4>
      </vt:variant>
    </vt:vector>
  </HeadingPairs>
  <TitlesOfParts>
    <vt:vector size="6" baseType="lpstr">
      <vt:lpstr>Sheet1</vt:lpstr>
      <vt:lpstr>Sheet2</vt:lpstr>
      <vt:lpstr>テーブル 5 (95)</vt:lpstr>
      <vt:lpstr>テーブル 5 (93)</vt:lpstr>
      <vt:lpstr>テーブル 5 (91)</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KAZUHIDE Yokoyama</dc:creator>
  <cp:lastModifiedBy>Yokoyama Kazuhide</cp:lastModifiedBy>
  <dcterms:created xsi:type="dcterms:W3CDTF">2020-06-01T02:07:32Z</dcterms:created>
  <dcterms:modified xsi:type="dcterms:W3CDTF">2026-09-06T11:28:39Z</dcterms:modified>
</cp:coreProperties>
</file>