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4\"/>
    </mc:Choice>
  </mc:AlternateContent>
  <xr:revisionPtr revIDLastSave="0" documentId="13_ncr:1_{F1D732D5-EF32-4567-8115-04D08D71B1A2}" xr6:coauthVersionLast="47" xr6:coauthVersionMax="47" xr10:uidLastSave="{00000000-0000-0000-0000-000000000000}"/>
  <bookViews>
    <workbookView xWindow="720" yWindow="570" windowWidth="27210" windowHeight="14910" activeTab="1" xr2:uid="{00000000-000D-0000-FFFF-FFFF00000000}"/>
  </bookViews>
  <sheets>
    <sheet name="Sheet1" sheetId="1" r:id="rId1"/>
    <sheet name="Sheet2" sheetId="2" r:id="rId2"/>
    <sheet name="Table 3 (65)" sheetId="32" r:id="rId3"/>
    <sheet name="Table 3 (63)" sheetId="31" r:id="rId4"/>
  </sheets>
  <definedNames>
    <definedName name="ExternalData_1" localSheetId="2" hidden="1">'Table 3 (65)'!$A$1:$E$16</definedName>
    <definedName name="ExternalData_2" localSheetId="0" hidden="1">Sheet1!$A$1:$E$16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3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64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</connections>
</file>

<file path=xl/sharedStrings.xml><?xml version="1.0" encoding="utf-8"?>
<sst xmlns="http://schemas.openxmlformats.org/spreadsheetml/2006/main" count="270" uniqueCount="35">
  <si>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</si>
  <si>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</si>
  <si>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</si>
  <si>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</si>
  <si>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</si>
  <si>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</si>
  <si>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</si>
  <si>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</si>
  <si>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Fever</t>
  </si>
  <si>
    <t>Nas, Hit-Boy, Steve Duboff</t>
  </si>
  <si>
    <t>Nas</t>
  </si>
  <si>
    <t>TSK</t>
  </si>
  <si>
    <t>Nas, Hit-Boy, Alex Callier</t>
  </si>
  <si>
    <t>Superhero Status</t>
  </si>
  <si>
    <t>Nas, Hit-Boy, Penelope McLendon</t>
  </si>
  <si>
    <t>I Love This Feeling</t>
  </si>
  <si>
    <t>Nas, Hit-Boy, Dexter Wansel</t>
  </si>
  <si>
    <t>No Tears</t>
  </si>
  <si>
    <t>Nas, Hit-Boy</t>
  </si>
  <si>
    <t>Never Die</t>
  </si>
  <si>
    <t>Nas, Lil Wayne, Hit-Boy, Deke Richards, Beatrice Verdi</t>
  </si>
  <si>
    <t>Nas feat. Lil Wayne</t>
  </si>
  <si>
    <t>Pretty Young Girl</t>
  </si>
  <si>
    <t>Nas, Hit-Boy, Sugarfoot, Junie Morrison, Marshall “Rock” Jones, Ralph Middlebrooks, Marvin Pierce, Greg Webster, Norman Napier, Andrew Noland</t>
  </si>
  <si>
    <t>Based on True Events</t>
  </si>
  <si>
    <t>Based on True Events, Pt. 2</t>
  </si>
  <si>
    <t>Sitting With My Thoughts</t>
  </si>
  <si>
    <t>Blue Bentley</t>
  </si>
  <si>
    <t>Jodeci Member</t>
  </si>
  <si>
    <t>Nas, Hit-Boy, George Kerr</t>
  </si>
  <si>
    <t>Speechless, Pt. 2</t>
  </si>
  <si>
    <t>Nas, Hit-Boy, George Patterson</t>
  </si>
  <si>
    <t>Japanese Soul Bar</t>
  </si>
  <si>
    <t>1-800-Nas&amp;Hit</t>
  </si>
  <si>
    <t>Nas, Hit-Boy, Randy Muller, Larry 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</si>
</sst>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1" xr16:uid="{01FC4465-1E22-4F5F-AB31-A1290B723EB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0" xr16:uid="{F631BFE4-8BDC-4755-BC1B-A03C55EE71FD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CDDBD9-F967-4BFF-986B-48EE41D25A66}" name="Table_3__655" displayName="Table_3__655" ref="A1:E16" tableType="queryTable" totalsRowShown="0">
  <autoFilter ref="A1:E16" xr:uid="{7ECDDBD9-F967-4BFF-986B-48EE41D25A66}"/>
  <tableColumns count="5">
    <tableColumn id="1" xr3:uid="{A0CF909F-E688-4E11-A402-11559FDFD069}" uniqueName="1" name="Column1" queryTableFieldId="1"/>
    <tableColumn id="2" xr3:uid="{E2261EBC-19A9-42A9-96F7-5A78D6BA49DB}" uniqueName="2" name="Title" queryTableFieldId="2" dataDxfId="3"/>
    <tableColumn id="3" xr3:uid="{112BDB02-EBB7-4D7E-B409-97FF8A60492F}" uniqueName="3" name="Composer" queryTableFieldId="3" dataDxfId="2"/>
    <tableColumn id="4" xr3:uid="{F353C14C-4BA3-4376-A25A-9C011E3ED7BB}" uniqueName="4" name="Performer" queryTableFieldId="4" dataDxfId="1"/>
    <tableColumn id="5" xr3:uid="{E9D495FA-C94A-4D93-919A-8AB3B143D206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4E4EF2-155E-49E2-A4F0-2AC048FAEA6E}" name="Table_3__65" displayName="Table_3__65" ref="A1:E16" tableType="queryTable" totalsRowShown="0">
  <autoFilter ref="A1:E16" xr:uid="{B84E4EF2-155E-49E2-A4F0-2AC048FAEA6E}"/>
  <tableColumns count="5">
    <tableColumn id="1" xr3:uid="{30F85DA5-268A-492B-89D8-DD36AACCA252}" uniqueName="1" name="Column1" queryTableFieldId="1"/>
    <tableColumn id="2" xr3:uid="{C2021E44-E7EC-4502-A4A6-702695EF226F}" uniqueName="2" name="Title" queryTableFieldId="2" dataDxfId="7"/>
    <tableColumn id="3" xr3:uid="{FB6B4AF9-FF06-4ACB-8FD3-AA5CECE6C0F8}" uniqueName="3" name="Composer" queryTableFieldId="3" dataDxfId="6"/>
    <tableColumn id="4" xr3:uid="{836B7528-C825-4E20-B31B-C0FFE291D583}" uniqueName="4" name="Performer" queryTableFieldId="4" dataDxfId="5"/>
    <tableColumn id="5" xr3:uid="{79874408-6F25-4CEC-984C-2D1960168D20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6" bestFit="1" customWidth="1"/>
    <col min="3" max="3" width="80.88671875" bestFit="1" customWidth="1"/>
    <col min="4" max="4" width="18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0.11597222222222223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0.12777777777777777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0.11874999999999999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0.13680555555555557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0.13263888888888889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0.13194444444444445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9.7222222222222224E-2</v>
      </c>
    </row>
    <row r="9" spans="1:5">
      <c r="A9">
        <v>8</v>
      </c>
      <c r="B9" s="6" t="s">
        <v>24</v>
      </c>
      <c r="C9" s="6" t="s">
        <v>18</v>
      </c>
      <c r="D9" s="6" t="s">
        <v>10</v>
      </c>
      <c r="E9" s="5">
        <v>0.11388888888888889</v>
      </c>
    </row>
    <row r="10" spans="1:5">
      <c r="A10">
        <v>9</v>
      </c>
      <c r="B10" s="6" t="s">
        <v>25</v>
      </c>
      <c r="C10" s="6" t="s">
        <v>18</v>
      </c>
      <c r="D10" s="6" t="s">
        <v>10</v>
      </c>
      <c r="E10" s="5">
        <v>0.13472222222222222</v>
      </c>
    </row>
    <row r="11" spans="1:5">
      <c r="A11">
        <v>10</v>
      </c>
      <c r="B11" s="6" t="s">
        <v>26</v>
      </c>
      <c r="C11" s="6" t="s">
        <v>18</v>
      </c>
      <c r="D11" s="6" t="s">
        <v>10</v>
      </c>
      <c r="E11" s="5">
        <v>0.125</v>
      </c>
    </row>
    <row r="12" spans="1:5">
      <c r="A12">
        <v>11</v>
      </c>
      <c r="B12" s="6" t="s">
        <v>27</v>
      </c>
      <c r="C12" s="6" t="s">
        <v>18</v>
      </c>
      <c r="D12" s="6" t="s">
        <v>10</v>
      </c>
      <c r="E12" s="5">
        <v>0.1076388888888889</v>
      </c>
    </row>
    <row r="13" spans="1:5">
      <c r="A13">
        <v>12</v>
      </c>
      <c r="B13" s="6" t="s">
        <v>28</v>
      </c>
      <c r="C13" s="6" t="s">
        <v>29</v>
      </c>
      <c r="D13" s="6" t="s">
        <v>10</v>
      </c>
      <c r="E13" s="5">
        <v>0.11597222222222223</v>
      </c>
    </row>
    <row r="14" spans="1:5">
      <c r="A14">
        <v>13</v>
      </c>
      <c r="B14" s="6" t="s">
        <v>30</v>
      </c>
      <c r="C14" s="6" t="s">
        <v>31</v>
      </c>
      <c r="D14" s="6" t="s">
        <v>10</v>
      </c>
      <c r="E14" s="5">
        <v>0.12847222222222221</v>
      </c>
    </row>
    <row r="15" spans="1:5">
      <c r="A15">
        <v>14</v>
      </c>
      <c r="B15" s="6" t="s">
        <v>32</v>
      </c>
      <c r="C15" s="6" t="s">
        <v>18</v>
      </c>
      <c r="D15" s="6" t="s">
        <v>10</v>
      </c>
      <c r="E15" s="5">
        <v>0.12569444444444444</v>
      </c>
    </row>
    <row r="16" spans="1:5">
      <c r="A16">
        <v>15</v>
      </c>
      <c r="B16" s="6" t="s">
        <v>33</v>
      </c>
      <c r="C16" s="6" t="s">
        <v>34</v>
      </c>
      <c r="D16" s="6" t="s">
        <v>10</v>
      </c>
      <c r="E16" s="5">
        <v>0.19236111111111112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9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38.21875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27</v>
      </c>
      <c r="F2" s="1">
        <f t="array" ref="F2">MAX(LENB(Sheet1!C1:'Sheet1'!C30))</f>
        <v>143</v>
      </c>
      <c r="H2" s="1">
        <f t="array" ref="H2">MAX(LENB(Sheet1!D1:'Sheet1'!D30))</f>
        <v>19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Fever                      </v>
      </c>
      <c r="E5" s="3" t="s">
        <v>0</v>
      </c>
      <c r="F5" t="str">
        <f>" "&amp;LEFTB(Sheet1!C2&amp;REPT(" ",$F$2),$F$2)</f>
        <v xml:space="preserve"> Nas, Hit-Boy, Steve Duboff     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Nas                </v>
      </c>
      <c r="I5" s="3" t="s">
        <v>0</v>
      </c>
      <c r="J5" s="2" t="str">
        <f>TEXT(Sheet1!E2,"HH:MM")&amp;" "</f>
        <v xml:space="preserve">02:47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TSK                        </v>
      </c>
      <c r="E6" s="3" t="s">
        <v>0</v>
      </c>
      <c r="F6" t="str">
        <f>" "&amp;LEFTB(Sheet1!C3&amp;REPT(" ",$F$2),$F$2)</f>
        <v xml:space="preserve"> Nas, Hit-Boy, Alex Callier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Nas                </v>
      </c>
      <c r="I6" s="3" t="s">
        <v>0</v>
      </c>
      <c r="J6" s="2" t="str">
        <f>TEXT(Sheet1!E3,"HH:MM")&amp;" "</f>
        <v xml:space="preserve">03:04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Superhero Status           </v>
      </c>
      <c r="E7" s="3" t="s">
        <v>0</v>
      </c>
      <c r="F7" t="str">
        <f>" "&amp;LEFTB(Sheet1!C4&amp;REPT(" ",$F$2),$F$2)</f>
        <v xml:space="preserve"> Nas, Hit-Boy, Penelope McLendon           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Nas                </v>
      </c>
      <c r="I7" s="3" t="s">
        <v>0</v>
      </c>
      <c r="J7" s="2" t="str">
        <f>TEXT(Sheet1!E4,"HH:MM")&amp;" "</f>
        <v xml:space="preserve">02:51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I Love This Feeling        </v>
      </c>
      <c r="E8" s="3" t="s">
        <v>0</v>
      </c>
      <c r="F8" t="str">
        <f>" "&amp;LEFTB(Sheet1!C5&amp;REPT(" ",$F$2),$F$2)</f>
        <v xml:space="preserve"> Nas, Hit-Boy, Dexter Wansel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Nas                </v>
      </c>
      <c r="I8" s="3" t="s">
        <v>0</v>
      </c>
      <c r="J8" s="2" t="str">
        <f>TEXT(Sheet1!E5,"HH:MM")&amp;" "</f>
        <v xml:space="preserve">03:17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No Tears                   </v>
      </c>
      <c r="E9" s="3" t="s">
        <v>0</v>
      </c>
      <c r="F9" t="str">
        <f>" "&amp;LEFTB(Sheet1!C6&amp;REPT(" ",$F$2),$F$2)</f>
        <v xml:space="preserve"> Nas, Hit-Boy    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Nas                </v>
      </c>
      <c r="I9" s="3" t="s">
        <v>0</v>
      </c>
      <c r="J9" s="2" t="str">
        <f>TEXT(Sheet1!E6,"HH:MM")&amp;" "</f>
        <v xml:space="preserve">03:11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Never Die                  </v>
      </c>
      <c r="E10" s="3" t="s">
        <v>0</v>
      </c>
      <c r="F10" t="str">
        <f>" "&amp;LEFTB(Sheet1!C7&amp;REPT(" ",$F$2),$F$2)</f>
        <v xml:space="preserve"> Nas, Lil Wayne, Hit-Boy, Deke Richards, Beatrice Verdi                                                                                         </v>
      </c>
      <c r="G10" s="3" t="s">
        <v>0</v>
      </c>
      <c r="H10" t="str">
        <f>LEFTB(Sheet1!D7&amp;REPT(" ",$H$2),$H$2)</f>
        <v>Nas feat. Lil Wayne</v>
      </c>
      <c r="I10" s="3" t="s">
        <v>0</v>
      </c>
      <c r="J10" s="2" t="str">
        <f>TEXT(Sheet1!E7,"HH:MM")&amp;" "</f>
        <v xml:space="preserve">03:10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Pretty Young Girl          </v>
      </c>
      <c r="E11" s="3" t="s">
        <v>0</v>
      </c>
      <c r="F11" t="str">
        <f>" "&amp;LEFTB(Sheet1!C8&amp;REPT(" ",$F$2),$F$2)</f>
        <v xml:space="preserve"> Nas, Hit-Boy, Sugarfoot, Junie Morrison, Marshall “Rock” Jones, Ralph Middlebrooks, Marvin Pierce, Greg Webster, Norman Napier, Andrew Noland</v>
      </c>
      <c r="G11" s="3" t="s">
        <v>0</v>
      </c>
      <c r="H11" t="str">
        <f>LEFTB(Sheet1!D8&amp;REPT(" ",$H$2),$H$2)</f>
        <v xml:space="preserve">Nas                </v>
      </c>
      <c r="I11" s="3" t="s">
        <v>0</v>
      </c>
      <c r="J11" s="2" t="str">
        <f>TEXT(Sheet1!E8,"HH:MM")&amp;" "</f>
        <v xml:space="preserve">02:20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Based on True Events       </v>
      </c>
      <c r="E12" s="3" t="s">
        <v>0</v>
      </c>
      <c r="F12" t="str">
        <f>" "&amp;LEFTB(Sheet1!C9&amp;REPT(" ",$F$2),$F$2)</f>
        <v xml:space="preserve"> Nas, Hit-Boy                             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Nas                </v>
      </c>
      <c r="I12" s="3" t="s">
        <v>0</v>
      </c>
      <c r="J12" s="2" t="str">
        <f>TEXT(Sheet1!E9,"HH:MM")&amp;" "</f>
        <v xml:space="preserve">02:44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>Based on True Events, Pt. 2</v>
      </c>
      <c r="E13" s="3" t="s">
        <v>0</v>
      </c>
      <c r="F13" t="str">
        <f>" "&amp;LEFTB(Sheet1!C10&amp;REPT(" ",$F$2),$F$2)</f>
        <v xml:space="preserve"> Nas, Hit-Boy   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Nas                </v>
      </c>
      <c r="I13" s="3" t="s">
        <v>0</v>
      </c>
      <c r="J13" s="2" t="str">
        <f>TEXT(Sheet1!E10,"HH:MM")&amp;" "</f>
        <v xml:space="preserve">03:14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Sitting With My Thoughts   </v>
      </c>
      <c r="E14" s="3" t="s">
        <v>0</v>
      </c>
      <c r="F14" t="str">
        <f>" "&amp;LEFTB(Sheet1!C11&amp;REPT(" ",$F$2),$F$2)</f>
        <v xml:space="preserve"> Nas, Hit-Boy            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Nas                </v>
      </c>
      <c r="I14" s="3" t="s">
        <v>0</v>
      </c>
      <c r="J14" s="2" t="str">
        <f>TEXT(Sheet1!E11,"HH:MM")&amp;" "</f>
        <v xml:space="preserve">03:00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Blue Bentley               </v>
      </c>
      <c r="E15" s="3" t="s">
        <v>0</v>
      </c>
      <c r="F15" t="str">
        <f>" "&amp;LEFTB(Sheet1!C12&amp;REPT(" ",$F$2),$F$2)</f>
        <v xml:space="preserve"> Nas, Hit-Boy                 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Nas                </v>
      </c>
      <c r="I15" s="3" t="s">
        <v>0</v>
      </c>
      <c r="J15" s="2" t="str">
        <f>TEXT(Sheet1!E12,"HH:MM")&amp;" "</f>
        <v xml:space="preserve">02:35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Jodeci Member              </v>
      </c>
      <c r="E16" s="3" t="s">
        <v>0</v>
      </c>
      <c r="F16" t="str">
        <f>" "&amp;LEFTB(Sheet1!C13&amp;REPT(" ",$F$2),$F$2)</f>
        <v xml:space="preserve"> Nas, Hit-Boy, George Kerr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Nas                </v>
      </c>
      <c r="I16" s="3" t="s">
        <v>0</v>
      </c>
      <c r="J16" s="2" t="str">
        <f>TEXT(Sheet1!E13,"HH:MM")&amp;" "</f>
        <v xml:space="preserve">02:47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Speechless, Pt. 2          </v>
      </c>
      <c r="E17" s="3" t="s">
        <v>0</v>
      </c>
      <c r="F17" t="str">
        <f>" "&amp;LEFTB(Sheet1!C14&amp;REPT(" ",$F$2),$F$2)</f>
        <v xml:space="preserve"> Nas, Hit-Boy, George Patterson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Nas                </v>
      </c>
      <c r="I17" s="3" t="s">
        <v>0</v>
      </c>
      <c r="J17" s="2" t="str">
        <f>TEXT(Sheet1!E14,"HH:MM")&amp;" "</f>
        <v xml:space="preserve">03:05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Japanese Soul Bar          </v>
      </c>
      <c r="E18" s="3" t="s">
        <v>0</v>
      </c>
      <c r="F18" t="str">
        <f>" "&amp;LEFTB(Sheet1!C15&amp;REPT(" ",$F$2),$F$2)</f>
        <v xml:space="preserve"> Nas, Hit-Boy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Nas                </v>
      </c>
      <c r="I18" s="3" t="s">
        <v>0</v>
      </c>
      <c r="J18" s="2" t="str">
        <f>TEXT(Sheet1!E15,"HH:MM")&amp;" "</f>
        <v xml:space="preserve">03:01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1-800-Nas&amp;Hit              </v>
      </c>
      <c r="E19" s="3" t="s">
        <v>0</v>
      </c>
      <c r="F19" t="str">
        <f>" "&amp;LEFTB(Sheet1!C16&amp;REPT(" ",$F$2),$F$2)</f>
        <v xml:space="preserve"> Nas, Hit-Boy, Randy Muller, Larry Payton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Nas                </v>
      </c>
      <c r="I19" s="3" t="s">
        <v>0</v>
      </c>
      <c r="J19" s="2" t="str">
        <f>TEXT(Sheet1!E16,"HH:MM")&amp;" "</f>
        <v xml:space="preserve">04:37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CA6F-897F-4EA1-82D3-A7BCA8B4A502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6" bestFit="1" customWidth="1"/>
    <col min="3" max="3" width="80.88671875" bestFit="1" customWidth="1"/>
    <col min="4" max="4" width="18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0.11597222222222223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0.12777777777777777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0.11874999999999999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0.13680555555555557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0.13263888888888889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0.13194444444444445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9.7222222222222224E-2</v>
      </c>
    </row>
    <row r="9" spans="1:5">
      <c r="A9">
        <v>8</v>
      </c>
      <c r="B9" s="6" t="s">
        <v>24</v>
      </c>
      <c r="C9" s="6" t="s">
        <v>18</v>
      </c>
      <c r="D9" s="6" t="s">
        <v>10</v>
      </c>
      <c r="E9" s="5">
        <v>0.11388888888888889</v>
      </c>
    </row>
    <row r="10" spans="1:5">
      <c r="A10">
        <v>9</v>
      </c>
      <c r="B10" s="6" t="s">
        <v>25</v>
      </c>
      <c r="C10" s="6" t="s">
        <v>18</v>
      </c>
      <c r="D10" s="6" t="s">
        <v>10</v>
      </c>
      <c r="E10" s="5">
        <v>0.13472222222222222</v>
      </c>
    </row>
    <row r="11" spans="1:5">
      <c r="A11">
        <v>10</v>
      </c>
      <c r="B11" s="6" t="s">
        <v>26</v>
      </c>
      <c r="C11" s="6" t="s">
        <v>18</v>
      </c>
      <c r="D11" s="6" t="s">
        <v>10</v>
      </c>
      <c r="E11" s="5">
        <v>0.125</v>
      </c>
    </row>
    <row r="12" spans="1:5">
      <c r="A12">
        <v>11</v>
      </c>
      <c r="B12" s="6" t="s">
        <v>27</v>
      </c>
      <c r="C12" s="6" t="s">
        <v>18</v>
      </c>
      <c r="D12" s="6" t="s">
        <v>10</v>
      </c>
      <c r="E12" s="5">
        <v>0.1076388888888889</v>
      </c>
    </row>
    <row r="13" spans="1:5">
      <c r="A13">
        <v>12</v>
      </c>
      <c r="B13" s="6" t="s">
        <v>28</v>
      </c>
      <c r="C13" s="6" t="s">
        <v>29</v>
      </c>
      <c r="D13" s="6" t="s">
        <v>10</v>
      </c>
      <c r="E13" s="5">
        <v>0.11597222222222223</v>
      </c>
    </row>
    <row r="14" spans="1:5">
      <c r="A14">
        <v>13</v>
      </c>
      <c r="B14" s="6" t="s">
        <v>30</v>
      </c>
      <c r="C14" s="6" t="s">
        <v>31</v>
      </c>
      <c r="D14" s="6" t="s">
        <v>10</v>
      </c>
      <c r="E14" s="5">
        <v>0.12847222222222221</v>
      </c>
    </row>
    <row r="15" spans="1:5">
      <c r="A15">
        <v>14</v>
      </c>
      <c r="B15" s="6" t="s">
        <v>32</v>
      </c>
      <c r="C15" s="6" t="s">
        <v>18</v>
      </c>
      <c r="D15" s="6" t="s">
        <v>10</v>
      </c>
      <c r="E15" s="5">
        <v>0.12569444444444444</v>
      </c>
    </row>
    <row r="16" spans="1:5">
      <c r="A16">
        <v>15</v>
      </c>
      <c r="B16" s="6" t="s">
        <v>33</v>
      </c>
      <c r="C16" s="6" t="s">
        <v>34</v>
      </c>
      <c r="D16" s="6" t="s">
        <v>10</v>
      </c>
      <c r="E16" s="5">
        <v>0.19236111111111112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379FA-6626-46F9-9E49-9D40658629FD}">
  <dimension ref="B2:E13"/>
  <sheetViews>
    <sheetView workbookViewId="0"/>
  </sheetViews>
  <sheetFormatPr defaultRowHeight="19.5"/>
  <cols>
    <col min="1" max="1" width="6.21875" bestFit="1" customWidth="1"/>
    <col min="2" max="2" width="16" bestFit="1" customWidth="1"/>
    <col min="3" max="3" width="80.88671875" bestFit="1" customWidth="1"/>
    <col min="4" max="4" width="11.8867187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Table 3 (65)</vt:lpstr>
      <vt:lpstr>Table 3 (63)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2024-04-14T03:23:14Z</dcterms:modified>
</cp:coreProperties>
</file>