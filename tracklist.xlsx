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87E21B9D-4EF2-4E4C-B131-7107E4404B47}" xr6:coauthVersionLast="47" xr6:coauthVersionMax="47" xr10:uidLastSave="{00000000-0000-0000-0000-000000000000}"/>
  <bookViews>
    <workbookView xWindow="2835" yWindow="960" windowWidth="23370" windowHeight="14520" activeTab="1" xr2:uid="{00000000-000D-0000-FFFF-FFFF00000000}"/>
  </bookViews>
  <sheets>
    <sheet name="Sheet1" sheetId="1" r:id="rId1"/>
    <sheet name="Sheet2" sheetId="2" r:id="rId2"/>
    <sheet name="テーブル 5 (89)" sheetId="85" r:id="rId3"/>
    <sheet name="Sheet3" sheetId="84" r:id="rId4"/>
  </sheets>
  <definedNames>
    <definedName name="ExternalData_1" localSheetId="2" hidden="1">'テーブル 5 (89)'!$A$1:$E$24</definedName>
    <definedName name="ExternalData_2" localSheetId="0" hidden="1">Sheet1!$A$1:$E$24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B34" i="2"/>
  <c r="J33" i="2"/>
  <c r="B33" i="2"/>
  <c r="J32" i="2"/>
  <c r="B32" i="2"/>
  <c r="J31" i="2"/>
  <c r="B31" i="2"/>
  <c r="J30" i="2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F11" i="2" l="1"/>
  <c r="F7" i="2"/>
  <c r="F34" i="2"/>
  <c r="F31" i="2"/>
  <c r="F33" i="2"/>
  <c r="F32" i="2"/>
  <c r="D32" i="2"/>
  <c r="D34" i="2"/>
  <c r="D31" i="2"/>
  <c r="D33" i="2"/>
  <c r="H34" i="2"/>
  <c r="H31" i="2"/>
  <c r="H33" i="2"/>
  <c r="H32" i="2"/>
  <c r="H24" i="2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H14" i="2"/>
  <c r="D16" i="2"/>
  <c r="F19" i="2"/>
  <c r="H22" i="2"/>
  <c r="D24" i="2"/>
  <c r="F2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11083B9F-7A86-4C8D-8EA3-740D72E29A11}" keepAlive="1" name="クエリ - テーブル 5 (71)" description="ブック内の 'テーブル 5 (71)' クエリへの接続です。" type="5" refreshedVersion="0" background="1">
    <dbPr connection="Provider=Microsoft.Mashup.OleDb.1;Data Source=$Workbook$;Location=&quot;テーブル 5 (71)&quot;;Extended Properties=&quot;&quot;" command="SELECT * FROM [テーブル 5 (71)]"/>
  </connection>
  <connection id="148" xr16:uid="{4DB7AD5A-B418-47B8-9B01-035F877738C0}" keepAlive="1" name="クエリ - テーブル 5 (72)" description="ブック内の 'テーブル 5 (72)' クエリへの接続です。" type="5" refreshedVersion="8" background="1" saveData="1">
    <dbPr connection="Provider=Microsoft.Mashup.OleDb.1;Data Source=$Workbook$;Location=&quot;テーブル 5 (72)&quot;;Extended Properties=&quot;&quot;" command="SELECT * FROM [テーブル 5 (72)]"/>
  </connection>
  <connection id="149" xr16:uid="{9ABBB067-ADB3-4DC4-9351-030E8EA31DFE}" keepAlive="1" name="クエリ - テーブル 5 (73)" description="ブック内の 'テーブル 5 (73)' クエリへの接続です。" type="5" refreshedVersion="8" background="1" saveData="1">
    <dbPr connection="Provider=Microsoft.Mashup.OleDb.1;Data Source=$Workbook$;Location=&quot;テーブル 5 (73)&quot;;Extended Properties=&quot;&quot;" command="SELECT * FROM [テーブル 5 (73)]"/>
  </connection>
  <connection id="150" xr16:uid="{15E9F6A9-3AA5-4C0C-9881-C59BD0FD4DC1}" keepAlive="1" name="クエリ - テーブル 5 (74)" description="ブック内の 'テーブル 5 (74)' クエリへの接続です。" type="5" refreshedVersion="8" background="1" saveData="1">
    <dbPr connection="Provider=Microsoft.Mashup.OleDb.1;Data Source=$Workbook$;Location=&quot;テーブル 5 (74)&quot;;Extended Properties=&quot;&quot;" command="SELECT * FROM [テーブル 5 (74)]"/>
  </connection>
  <connection id="151" xr16:uid="{F0250E8D-4A68-4C6D-BEEE-6A79E5488BFD}" keepAlive="1" name="クエリ - テーブル 5 (75)" description="ブック内の 'テーブル 5 (75)' クエリへの接続です。" type="5" refreshedVersion="0" background="1">
    <dbPr connection="Provider=Microsoft.Mashup.OleDb.1;Data Source=$Workbook$;Location=&quot;テーブル 5 (75)&quot;;Extended Properties=&quot;&quot;" command="SELECT * FROM [テーブル 5 (75)]"/>
  </connection>
  <connection id="152" xr16:uid="{7603C545-7110-442E-A944-C950C2A962A6}" keepAlive="1" name="クエリ - テーブル 5 (76)" description="ブック内の 'テーブル 5 (76)' クエリへの接続です。" type="5" refreshedVersion="8" background="1" saveData="1">
    <dbPr connection="Provider=Microsoft.Mashup.OleDb.1;Data Source=$Workbook$;Location=&quot;テーブル 5 (76)&quot;;Extended Properties=&quot;&quot;" command="SELECT * FROM [テーブル 5 (76)]"/>
  </connection>
  <connection id="153" xr16:uid="{3F7CC578-1E46-42D8-ADCA-ACAA3B42ED93}" keepAlive="1" name="クエリ - テーブル 5 (77)" description="ブック内の 'テーブル 5 (77)' クエリへの接続です。" type="5" refreshedVersion="8" background="1" saveData="1">
    <dbPr connection="Provider=Microsoft.Mashup.OleDb.1;Data Source=$Workbook$;Location=&quot;テーブル 5 (77)&quot;;Extended Properties=&quot;&quot;" command="SELECT * FROM [テーブル 5 (77)]"/>
  </connection>
  <connection id="154" xr16:uid="{374AE247-1DB4-40CE-A720-AD2A5E2AA29C}" keepAlive="1" name="クエリ - テーブル 5 (78)" description="ブック内の 'テーブル 5 (78)' クエリへの接続です。" type="5" refreshedVersion="8" background="1" saveData="1">
    <dbPr connection="Provider=Microsoft.Mashup.OleDb.1;Data Source=$Workbook$;Location=&quot;テーブル 5 (78)&quot;;Extended Properties=&quot;&quot;" command="SELECT * FROM [テーブル 5 (78)]"/>
  </connection>
  <connection id="155" xr16:uid="{369560D6-2AB8-4192-87BF-D6A075B7A590}" keepAlive="1" name="クエリ - テーブル 5 (79)" description="ブック内の 'テーブル 5 (79)' クエリへの接続です。" type="5" refreshedVersion="8" background="1" saveData="1">
    <dbPr connection="Provider=Microsoft.Mashup.OleDb.1;Data Source=$Workbook$;Location=&quot;テーブル 5 (79)&quot;;Extended Properties=&quot;&quot;" command="SELECT * FROM [テーブル 5 (79)]"/>
  </connection>
  <connection id="156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57" xr16:uid="{1C4BC1A3-CF05-47AF-8EAB-2DC266D46C01}" keepAlive="1" name="クエリ - テーブル 5 (80)" description="ブック内の 'テーブル 5 (80)' クエリへの接続です。" type="5" refreshedVersion="8" background="1" saveData="1">
    <dbPr connection="Provider=Microsoft.Mashup.OleDb.1;Data Source=$Workbook$;Location=&quot;テーブル 5 (80)&quot;;Extended Properties=&quot;&quot;" command="SELECT * FROM [テーブル 5 (80)]"/>
  </connection>
  <connection id="158" xr16:uid="{229AD050-8164-49DA-83D4-829246EC27F1}" keepAlive="1" name="クエリ - テーブル 5 (81)" description="ブック内の 'テーブル 5 (81)' クエリへの接続です。" type="5" refreshedVersion="8" background="1" saveData="1">
    <dbPr connection="Provider=Microsoft.Mashup.OleDb.1;Data Source=$Workbook$;Location=&quot;テーブル 5 (81)&quot;;Extended Properties=&quot;&quot;" command="SELECT * FROM [テーブル 5 (81)]"/>
  </connection>
  <connection id="159" xr16:uid="{4EBAE136-702A-4021-8289-22F27A93E08F}" keepAlive="1" name="クエリ - テーブル 5 (82)" description="ブック内の 'テーブル 5 (82)' クエリへの接続です。" type="5" refreshedVersion="8" background="1" saveData="1">
    <dbPr connection="Provider=Microsoft.Mashup.OleDb.1;Data Source=$Workbook$;Location=&quot;テーブル 5 (82)&quot;;Extended Properties=&quot;&quot;" command="SELECT * FROM [テーブル 5 (82)]"/>
  </connection>
  <connection id="160" xr16:uid="{468B3505-0578-45BD-B7C5-3E3853D5808C}" keepAlive="1" name="クエリ - テーブル 5 (83)" description="ブック内の 'テーブル 5 (83)' クエリへの接続です。" type="5" refreshedVersion="8" background="1" saveData="1">
    <dbPr connection="Provider=Microsoft.Mashup.OleDb.1;Data Source=$Workbook$;Location=&quot;テーブル 5 (83)&quot;;Extended Properties=&quot;&quot;" command="SELECT * FROM [テーブル 5 (83)]"/>
  </connection>
  <connection id="161" xr16:uid="{A5011E8F-F905-4256-8294-33889EB58357}" keepAlive="1" name="クエリ - テーブル 5 (84)" description="ブック内の 'テーブル 5 (84)' クエリへの接続です。" type="5" refreshedVersion="8" background="1" saveData="1">
    <dbPr connection="Provider=Microsoft.Mashup.OleDb.1;Data Source=$Workbook$;Location=&quot;テーブル 5 (84)&quot;;Extended Properties=&quot;&quot;" command="SELECT * FROM [テーブル 5 (84)]"/>
  </connection>
  <connection id="162" xr16:uid="{CAB5ECC6-950E-4478-88D6-1C9026B8B5F1}" keepAlive="1" name="クエリ - テーブル 5 (85)" description="ブック内の 'テーブル 5 (85)' クエリへの接続です。" type="5" refreshedVersion="8" background="1" saveData="1">
    <dbPr connection="Provider=Microsoft.Mashup.OleDb.1;Data Source=$Workbook$;Location=&quot;テーブル 5 (85)&quot;;Extended Properties=&quot;&quot;" command="SELECT * FROM [テーブル 5 (85)]"/>
  </connection>
  <connection id="163" xr16:uid="{79753507-8B86-48CF-A39B-BC8907DC6177}" keepAlive="1" name="クエリ - テーブル 5 (86)" description="ブック内の 'テーブル 5 (86)' クエリへの接続です。" type="5" refreshedVersion="8" background="1" saveData="1">
    <dbPr connection="Provider=Microsoft.Mashup.OleDb.1;Data Source=$Workbook$;Location=&quot;テーブル 5 (86)&quot;;Extended Properties=&quot;&quot;" command="SELECT * FROM [テーブル 5 (86)]"/>
  </connection>
  <connection id="164" xr16:uid="{51E24E1F-2DA9-4D17-ABA5-F450AFDAA74B}" keepAlive="1" name="クエリ - テーブル 5 (87)" description="ブック内の 'テーブル 5 (87)' クエリへの接続です。" type="5" refreshedVersion="8" background="1" saveData="1">
    <dbPr connection="Provider=Microsoft.Mashup.OleDb.1;Data Source=$Workbook$;Location=&quot;テーブル 5 (87)&quot;;Extended Properties=&quot;&quot;" command="SELECT * FROM [テーブル 5 (87)]"/>
  </connection>
  <connection id="165" xr16:uid="{DB4C105A-63FF-4F8B-9BC2-F5FFCCD8F744}" keepAlive="1" name="クエリ - テーブル 5 (88)" description="ブック内の 'テーブル 5 (88)' クエリへの接続です。" type="5" refreshedVersion="8" background="1" saveData="1">
    <dbPr connection="Provider=Microsoft.Mashup.OleDb.1;Data Source=$Workbook$;Location=&quot;テーブル 5 (88)&quot;;Extended Properties=&quot;&quot;" command="SELECT * FROM [テーブル 5 (88)]"/>
  </connection>
  <connection id="166" xr16:uid="{79FEB04E-2966-400E-90C2-BE7F46D96586}" keepAlive="1" name="クエリ - テーブル 5 (89)" description="ブック内の 'テーブル 5 (89)' クエリへの接続です。" type="5" refreshedVersion="8" background="1" saveData="1">
    <dbPr connection="Provider=Microsoft.Mashup.OleDb.1;Data Source=$Workbook$;Location=&quot;テーブル 5 (89)&quot;;Extended Properties=&quot;&quot;" command="SELECT * FROM [テーブル 5 (89)]"/>
  </connection>
  <connection id="167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  <connection id="168" xr16:uid="{216E639C-9CA3-488A-9BAF-6E925A7E351F}" keepAlive="1" name="クエリ - テーブル 5 (90)" description="ブック内の 'テーブル 5 (90)' クエリへの接続です。" type="5" refreshedVersion="8" background="1" saveData="1">
    <dbPr connection="Provider=Microsoft.Mashup.OleDb.1;Data Source=$Workbook$;Location=&quot;テーブル 5 (90)&quot;;Extended Properties=&quot;&quot;" command="SELECT * FROM [テーブル 5 (90)]"/>
  </connection>
</connections>
</file>

<file path=xl/sharedStrings.xml><?xml version="1.0" encoding="utf-8"?>
<sst xmlns="http://schemas.openxmlformats.org/spreadsheetml/2006/main" count="342" uniqueCount="80">
  <si>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</si>
  <si>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</si>
  <si>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</si>
  <si>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</si>
  <si>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</si>
  <si>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</si>
  <si>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</si>
  <si>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</si>
  <si>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Dead</t>
  </si>
  <si>
    <t>Belcalis Almanzar, Jorden Thorpe, James Steed, Matthew Allen, Samuel Jiménez,
                  Argel Lara, Saleem Allen, Omar Thorpe, Hide Miyabi</t>
  </si>
  <si>
    <t>Cardi B feat. Summer Walker</t>
  </si>
  <si>
    <t>Hello</t>
  </si>
  <si>
    <t>Belcalis Almanzar, Jorden Thorpe, James Steed, Matthew Allen</t>
  </si>
  <si>
    <t>Cardi B</t>
  </si>
  <si>
    <t>Magnet</t>
  </si>
  <si>
    <t>Belcalis Almanzar, Jorden Thorpe, Julius Rivera II, ILloyd McKenzie, Morris
                  Jones, Maurice Washington, James Steed, Darryl Clemons, Kevin Price, Timothy
                  McKibbins</t>
  </si>
  <si>
    <t>Pick It Up</t>
  </si>
  <si>
    <t>Belcalis Almanzar, Jorden Thorpe, Roosevelt Jean, Adrienne Ben Haim, Lewis
                  Shoates, Philip Constable</t>
  </si>
  <si>
    <t>Cardi B feat. Serena Gomez</t>
  </si>
  <si>
    <t>Imaginary Playerz</t>
  </si>
  <si>
    <t>Belcalis Almanzar, Jorden Thorpe, James Steed, Matthew Allen, Saleem Allen</t>
  </si>
  <si>
    <t>Bodega Baddie</t>
  </si>
  <si>
    <t>Belcalis AlmanzarRoosevelt Jean, Fourtee Crawford, Kofi Amponsah, Gilbert
                  Baba, Juan de los Santos</t>
  </si>
  <si>
    <t>Salute</t>
  </si>
  <si>
    <t>Belcalis Almanzar, Jorden Thorpe, Bryan Simmons, Lesidney Ragland, Daan
                  Huljbregts, Casey Millan, Quentin Shemwell, Gary Terrell Jr., Tauheed Epps</t>
  </si>
  <si>
    <t>Safe</t>
  </si>
  <si>
    <t>Belcalis Almanzar, Kehlani Parrish, Jorden Thorpe, James Steed, Matthew
                  Allen</t>
  </si>
  <si>
    <t>Cardi B feat. Kehlani</t>
  </si>
  <si>
    <t>Man of Your Word</t>
  </si>
  <si>
    <t>Belcalis Almanzar, Douglas Ford, Javaan Anderson, Jeff Kleinman</t>
  </si>
  <si>
    <t>Cardi B feat. Dougie F</t>
  </si>
  <si>
    <t>What's Goin On</t>
  </si>
  <si>
    <t>Belcalis Almanzar, Melissa Jefferson, Roosevelt Jean, Javaan Anderson,
                  Ben Haim, Shoates, Duwayne Mills, Constable, Ricky Reed, Linda Perry</t>
  </si>
  <si>
    <t>Cardi B feat: Lizzo</t>
  </si>
  <si>
    <t>Shower Tears</t>
  </si>
  <si>
    <t>Belcalis Almanzar, Nija Charles, Torae Carr, Roosevelt Jean, Jonathan Descartes,
                  Avery Earl, Donnie Meadows, Scott Carter, Vanessa Wood, Ali Prawl</t>
  </si>
  <si>
    <t>Outside</t>
  </si>
  <si>
    <t>Belcalis Almanzar, Jorden Thorpe, Roosevelt Jean, Yakki Davis, Ernest Brown
                  III, Micaela Moore, James Steed</t>
  </si>
  <si>
    <t>Pretty &amp; Petty</t>
  </si>
  <si>
    <t>Better Than You</t>
  </si>
  <si>
    <t>Belcalis Almanzar, Cashmere Small, Jordan Thorpe, Javaan Anderson, Michael
                  Mulé, Isaac De Boni, Javaan Anderson Hernandez, Norman Ingram</t>
  </si>
  <si>
    <t>Cardi B feat. Cash Cobain</t>
  </si>
  <si>
    <t>On My Back</t>
  </si>
  <si>
    <t>Belcalis Almanzar, Alyssa Cantu, Jorden Thorpe, Brandon Hamlin, Shae Jacobs,
                  James Harris, Terry Lewis</t>
  </si>
  <si>
    <t>Cardi B feat. Lourdiz</t>
  </si>
  <si>
    <t>Errtime</t>
  </si>
  <si>
    <t>Belcalis Almanzar, Jorden Thorpe, Javaan Anderson, James Steed, Matthew
                  Allen</t>
  </si>
  <si>
    <t>Check Please</t>
  </si>
  <si>
    <t>Principal</t>
  </si>
  <si>
    <t>Belcalis Almanzar, Jorden Thorpe, Monte Moir, Omar Perrin, Deandre Sumpter</t>
  </si>
  <si>
    <t>Cardi B feat. Janet Jackson</t>
  </si>
  <si>
    <t>Trophies</t>
  </si>
  <si>
    <t>Belcalis Almanzar, James Steed, Matthew Allen, Omar Thorpe</t>
  </si>
  <si>
    <t>Nice Guy</t>
  </si>
  <si>
    <t>Belcalis Almanzar, Tyla Seethal, Almando Cresso, Hailey Rusch, London Holmes,
                  Javier Mercado, Steven Giron, Kevin Price</t>
  </si>
  <si>
    <t>Cardi B feat. Tyla</t>
  </si>
  <si>
    <t>Killin You Hoes</t>
  </si>
  <si>
    <t>Belcalis Almanzar, Jorden Thorpe, Edward Davadi, James Steed, Samuel Jim?nez,
                  Don, Katrina Laverne Kearse</t>
  </si>
  <si>
    <t>Up</t>
  </si>
  <si>
    <t>Belcalis Almanzar, Jorden Thorpe, James Steed, Matthew Allen, Joshua Baker,
                  Edis Selmani</t>
  </si>
  <si>
    <t>WAP</t>
  </si>
  <si>
    <t>Belcalis Almanzar, Jorden Thorpe, Megan Pete, Austin Owens, James Foye
                  III</t>
  </si>
  <si>
    <t>Belcalis Almanzar, Jorden Thorpe, James Steed, Matthew Allen, Samuel Jiménez,                  Argel Lara, Saleem Allen, Omar Thorpe, Hide Miyabi</t>
    <phoneticPr fontId="1"/>
  </si>
  <si>
    <t>Belcalis Almanzar, Jorden Thorpe, Julius Rivera II, ILloyd McKenzie, Morris                  Jones, Maurice Washington, James Steed, Darryl Clemons, Kevin Price, Timothy                  McKibbins</t>
    <phoneticPr fontId="1"/>
  </si>
  <si>
    <t>Belcalis Almanzar, Jorden Thorpe, Roosevelt Jean, Adrienne Ben Haim, Lewis                  Shoates, Philip Constable</t>
    <phoneticPr fontId="1"/>
  </si>
  <si>
    <t>Belcalis AlmanzarRoosevelt Jean, Fourtee Crawford, Kofi Amponsah, Gilbert                  Baba, Juan de los Santos</t>
    <phoneticPr fontId="1"/>
  </si>
  <si>
    <t>Belcalis Almanzar, Jorden Thorpe, Bryan Simmons, Lesidney Ragland, Daan                  Huljbregts, Casey Millan, Quentin Shemwell, Gary Terrell Jr., Tauheed Epps</t>
    <phoneticPr fontId="1"/>
  </si>
  <si>
    <t>Belcalis Almanzar, Kehlani Parrish, Jorden Thorpe, James Steed, Matthew                  Allen</t>
    <phoneticPr fontId="1"/>
  </si>
  <si>
    <t>Belcalis Almanzar, Melissa Jefferson, Roosevelt Jean, Javaan Anderson,                  Ben Haim, Shoates, Duwayne Mills, Constable, Ricky Reed, Linda Perry</t>
    <phoneticPr fontId="1"/>
  </si>
  <si>
    <t>Belcalis Almanzar, Nija Charles, Torae Carr, Roosevelt Jean, Jonathan Descartes,                  Avery Earl, Donnie Meadows, Scott Carter, Vanessa Wood, Ali Prawl</t>
    <phoneticPr fontId="1"/>
  </si>
  <si>
    <t>Belcalis Almanzar, Jorden Thorpe, Roosevelt Jean, Yakki Davis, Ernest Brown                  III, Micaela Moore, James Steed</t>
    <phoneticPr fontId="1"/>
  </si>
  <si>
    <t>Belcalis Almanzar, Cashmere Small, Jordan Thorpe, Javaan Anderson, Michael                  Mulé, Isaac De Boni, Javaan Anderson Hernandez, Norman Ingram</t>
    <phoneticPr fontId="1"/>
  </si>
  <si>
    <t>Belcalis Almanzar, Alyssa Cantu, Jorden Thorpe, Brandon Hamlin, Shae Jacobs,                  James Harris, Terry Lewis</t>
    <phoneticPr fontId="1"/>
  </si>
  <si>
    <t>Belcalis Almanzar, Jorden Thorpe, Javaan Anderson, James Steed, Matthew                  Allen</t>
    <phoneticPr fontId="1"/>
  </si>
  <si>
    <t>Belcalis Almanzar, Jorden Thorpe, Monte Moir, Omar Perrin, Deandre Sumpter</t>
    <phoneticPr fontId="1"/>
  </si>
  <si>
    <t>Belcalis Almanzar, James Steed, Matthew Allen, Omar Thorpe</t>
    <phoneticPr fontId="1"/>
  </si>
  <si>
    <t>Belcalis Almanzar, Tyla Seethal, Almando Cresso, Hailey Rusch, London Holmes,                  Javier Mercado, Steven Giron, Kevin Price</t>
    <phoneticPr fontId="1"/>
  </si>
  <si>
    <t>Belcalis Almanzar, Jorden Thorpe, Edward Davadi, James Steed, Samuel Jim?nez,                  Don, Katrina Laverne Kearse</t>
    <phoneticPr fontId="1"/>
  </si>
  <si>
    <t>Belcalis Almanzar, Jorden Thorpe, James Steed, Matthew Allen, Joshua Baker,                  Edis Selmani</t>
    <phoneticPr fontId="1"/>
  </si>
  <si>
    <t>Belcalis Almanzar, Jorden Thorpe, Megan Pete, Austin Owens, James Foye                  III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</si>
</sst>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0" borderId="0" xfId="0" applyNumberFormat="1" applyAlignment="1">
      <alignment vertical="center" wrapText="1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8" xr16:uid="{27CC14A6-A230-4342-AC6E-BE359A2DF923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6" xr16:uid="{E32F2B2A-BD1A-4284-B3FF-957BAACD9D2E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5426A6-A155-43B7-9834-47A9839EAE3A}" name="テーブル_5__893" displayName="テーブル_5__893" ref="A1:E24" tableType="queryTable" totalsRowShown="0">
  <autoFilter ref="A1:E24" xr:uid="{B05426A6-A155-43B7-9834-47A9839EAE3A}"/>
  <tableColumns count="5">
    <tableColumn id="1" xr3:uid="{5E23EA65-5549-40E2-BC54-6A97565FBA4B}" uniqueName="1" name="Column1" queryTableFieldId="1"/>
    <tableColumn id="2" xr3:uid="{B587602B-C5AD-43A5-A43C-2B2D0F859924}" uniqueName="2" name="Title" queryTableFieldId="2" dataDxfId="3"/>
    <tableColumn id="3" xr3:uid="{56498170-F5A8-4953-B31D-AEB71522E860}" uniqueName="3" name="Composer" queryTableFieldId="3" dataDxfId="2"/>
    <tableColumn id="4" xr3:uid="{734BDB26-BA70-4C75-A26A-CDA60F0C9717}" uniqueName="4" name="Performer" queryTableFieldId="4" dataDxfId="1"/>
    <tableColumn id="5" xr3:uid="{0B985F74-22CA-4D53-86DF-9BCDBB7C07CE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A81256-F443-4425-9BFD-D798B841E681}" name="テーブル_5__89" displayName="テーブル_5__89" ref="A1:E24" tableType="queryTable" totalsRowShown="0">
  <autoFilter ref="A1:E24" xr:uid="{FEA81256-F443-4425-9BFD-D798B841E681}"/>
  <tableColumns count="5">
    <tableColumn id="1" xr3:uid="{985CB055-3ADF-4D62-8DC5-95A5E99DF28F}" uniqueName="1" name="Column1" queryTableFieldId="1"/>
    <tableColumn id="2" xr3:uid="{EFA83C04-8E43-4901-8F0E-E886CB09DF35}" uniqueName="2" name="Title" queryTableFieldId="2" dataDxfId="7"/>
    <tableColumn id="3" xr3:uid="{B3556768-4AF6-4D36-93BE-3E10AEE7C963}" uniqueName="3" name="Composer" queryTableFieldId="3" dataDxfId="6"/>
    <tableColumn id="4" xr3:uid="{EE3DB0F0-0E91-4A2F-9BB9-57B3AFCA267D}" uniqueName="4" name="Performer" queryTableFieldId="4" dataDxfId="5"/>
    <tableColumn id="5" xr3:uid="{6D0ACF0D-9A5D-455C-B290-F28B7107E0CA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opLeftCell="A6" workbookViewId="0">
      <selection activeCell="C25" sqref="C25"/>
    </sheetView>
  </sheetViews>
  <sheetFormatPr defaultRowHeight="19.5"/>
  <cols>
    <col min="1" max="1" width="11" bestFit="1" customWidth="1"/>
    <col min="2" max="2" width="17.33203125" bestFit="1" customWidth="1"/>
    <col min="3" max="3" width="80.88671875" bestFit="1" customWidth="1"/>
    <col min="4" max="4" width="27.2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62</v>
      </c>
      <c r="D2" s="6" t="s">
        <v>10</v>
      </c>
      <c r="E2" s="5">
        <v>0.17083333333333334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0.1076388888888889</v>
      </c>
    </row>
    <row r="4" spans="1:5" ht="39">
      <c r="A4">
        <v>3</v>
      </c>
      <c r="B4" s="6" t="s">
        <v>14</v>
      </c>
      <c r="C4" s="7" t="s">
        <v>63</v>
      </c>
      <c r="D4" s="6" t="s">
        <v>13</v>
      </c>
      <c r="E4" s="5">
        <v>0.12361111111111112</v>
      </c>
    </row>
    <row r="5" spans="1:5">
      <c r="A5">
        <v>4</v>
      </c>
      <c r="B5" s="6" t="s">
        <v>16</v>
      </c>
      <c r="C5" s="6" t="s">
        <v>64</v>
      </c>
      <c r="D5" s="6" t="s">
        <v>18</v>
      </c>
      <c r="E5" s="5">
        <v>0.1111111111111111</v>
      </c>
    </row>
    <row r="6" spans="1:5">
      <c r="A6">
        <v>5</v>
      </c>
      <c r="B6" s="6" t="s">
        <v>19</v>
      </c>
      <c r="C6" s="6" t="s">
        <v>20</v>
      </c>
      <c r="D6" s="6" t="s">
        <v>13</v>
      </c>
      <c r="E6" s="5">
        <v>0.14374999999999999</v>
      </c>
    </row>
    <row r="7" spans="1:5">
      <c r="A7">
        <v>6</v>
      </c>
      <c r="B7" s="6" t="s">
        <v>21</v>
      </c>
      <c r="C7" s="6" t="s">
        <v>65</v>
      </c>
      <c r="D7" s="6" t="s">
        <v>13</v>
      </c>
      <c r="E7" s="5">
        <v>7.2222222222222215E-2</v>
      </c>
    </row>
    <row r="8" spans="1:5">
      <c r="A8">
        <v>7</v>
      </c>
      <c r="B8" s="6" t="s">
        <v>23</v>
      </c>
      <c r="C8" s="6" t="s">
        <v>66</v>
      </c>
      <c r="D8" s="6" t="s">
        <v>13</v>
      </c>
      <c r="E8" s="5">
        <v>0.10694444444444444</v>
      </c>
    </row>
    <row r="9" spans="1:5">
      <c r="A9">
        <v>8</v>
      </c>
      <c r="B9" s="6" t="s">
        <v>25</v>
      </c>
      <c r="C9" s="6" t="s">
        <v>67</v>
      </c>
      <c r="D9" s="6" t="s">
        <v>27</v>
      </c>
      <c r="E9" s="5">
        <v>0.12291666666666666</v>
      </c>
    </row>
    <row r="10" spans="1:5">
      <c r="A10">
        <v>9</v>
      </c>
      <c r="B10" s="6" t="s">
        <v>28</v>
      </c>
      <c r="C10" s="6" t="s">
        <v>29</v>
      </c>
      <c r="D10" s="6" t="s">
        <v>30</v>
      </c>
      <c r="E10" s="5">
        <v>0.14374999999999999</v>
      </c>
    </row>
    <row r="11" spans="1:5">
      <c r="A11">
        <v>10</v>
      </c>
      <c r="B11" s="6" t="s">
        <v>31</v>
      </c>
      <c r="C11" s="6" t="s">
        <v>68</v>
      </c>
      <c r="D11" s="6" t="s">
        <v>33</v>
      </c>
      <c r="E11" s="5">
        <v>0.14305555555555555</v>
      </c>
    </row>
    <row r="12" spans="1:5">
      <c r="A12">
        <v>11</v>
      </c>
      <c r="B12" s="6" t="s">
        <v>34</v>
      </c>
      <c r="C12" s="6" t="s">
        <v>69</v>
      </c>
      <c r="D12" s="6" t="s">
        <v>10</v>
      </c>
      <c r="E12" s="5">
        <v>0.12708333333333333</v>
      </c>
    </row>
    <row r="13" spans="1:5">
      <c r="A13">
        <v>12</v>
      </c>
      <c r="B13" s="6" t="s">
        <v>36</v>
      </c>
      <c r="C13" s="6" t="s">
        <v>70</v>
      </c>
      <c r="D13" s="6" t="s">
        <v>13</v>
      </c>
      <c r="E13" s="5">
        <v>0.12777777777777777</v>
      </c>
    </row>
    <row r="14" spans="1:5">
      <c r="A14">
        <v>13</v>
      </c>
      <c r="B14" s="6" t="s">
        <v>38</v>
      </c>
      <c r="C14" s="6" t="s">
        <v>12</v>
      </c>
      <c r="D14" s="6" t="s">
        <v>13</v>
      </c>
      <c r="E14" s="5">
        <v>0.10347222222222222</v>
      </c>
    </row>
    <row r="15" spans="1:5">
      <c r="A15">
        <v>14</v>
      </c>
      <c r="B15" s="6" t="s">
        <v>39</v>
      </c>
      <c r="C15" s="6" t="s">
        <v>71</v>
      </c>
      <c r="D15" s="6" t="s">
        <v>41</v>
      </c>
      <c r="E15" s="5">
        <v>8.4027777777777785E-2</v>
      </c>
    </row>
    <row r="16" spans="1:5">
      <c r="A16">
        <v>15</v>
      </c>
      <c r="B16" s="6" t="s">
        <v>42</v>
      </c>
      <c r="C16" s="6" t="s">
        <v>72</v>
      </c>
      <c r="D16" s="6" t="s">
        <v>44</v>
      </c>
      <c r="E16" s="5">
        <v>0.11319444444444444</v>
      </c>
    </row>
    <row r="17" spans="1:5">
      <c r="A17">
        <v>16</v>
      </c>
      <c r="B17" s="6" t="s">
        <v>45</v>
      </c>
      <c r="C17" s="6" t="s">
        <v>73</v>
      </c>
      <c r="D17" s="6" t="s">
        <v>13</v>
      </c>
      <c r="E17" s="5">
        <v>0.12638888888888888</v>
      </c>
    </row>
    <row r="18" spans="1:5">
      <c r="A18">
        <v>17</v>
      </c>
      <c r="B18" s="6" t="s">
        <v>47</v>
      </c>
      <c r="C18" s="6" t="s">
        <v>12</v>
      </c>
      <c r="D18" s="6" t="s">
        <v>13</v>
      </c>
      <c r="E18" s="5">
        <v>0.1361111111111111</v>
      </c>
    </row>
    <row r="19" spans="1:5">
      <c r="A19">
        <v>18</v>
      </c>
      <c r="B19" s="6" t="s">
        <v>48</v>
      </c>
      <c r="C19" s="6" t="s">
        <v>74</v>
      </c>
      <c r="D19" s="6" t="s">
        <v>50</v>
      </c>
      <c r="E19" s="5">
        <v>0.15972222222222221</v>
      </c>
    </row>
    <row r="20" spans="1:5">
      <c r="A20">
        <v>19</v>
      </c>
      <c r="B20" s="6" t="s">
        <v>51</v>
      </c>
      <c r="C20" s="6" t="s">
        <v>75</v>
      </c>
      <c r="D20" s="6" t="s">
        <v>13</v>
      </c>
      <c r="E20" s="5">
        <v>0.10833333333333334</v>
      </c>
    </row>
    <row r="21" spans="1:5">
      <c r="A21">
        <v>20</v>
      </c>
      <c r="B21" s="6" t="s">
        <v>53</v>
      </c>
      <c r="C21" s="6" t="s">
        <v>76</v>
      </c>
      <c r="D21" s="6" t="s">
        <v>55</v>
      </c>
      <c r="E21" s="5">
        <v>0.12986111111111112</v>
      </c>
    </row>
    <row r="22" spans="1:5">
      <c r="A22">
        <v>21</v>
      </c>
      <c r="B22" s="6" t="s">
        <v>56</v>
      </c>
      <c r="C22" s="6" t="s">
        <v>77</v>
      </c>
      <c r="D22" s="6" t="s">
        <v>13</v>
      </c>
      <c r="E22" s="5">
        <v>0.15902777777777777</v>
      </c>
    </row>
    <row r="23" spans="1:5">
      <c r="A23">
        <v>22</v>
      </c>
      <c r="B23" s="6" t="s">
        <v>58</v>
      </c>
      <c r="C23" s="6" t="s">
        <v>78</v>
      </c>
      <c r="D23" s="6" t="s">
        <v>13</v>
      </c>
      <c r="E23" s="5">
        <v>0.10833333333333334</v>
      </c>
    </row>
    <row r="24" spans="1:5">
      <c r="A24">
        <v>23</v>
      </c>
      <c r="B24" s="6" t="s">
        <v>60</v>
      </c>
      <c r="C24" s="6" t="s">
        <v>79</v>
      </c>
      <c r="D24" s="6" t="s">
        <v>13</v>
      </c>
      <c r="E24" s="5">
        <v>0.12986111111111112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4"/>
  <sheetViews>
    <sheetView tabSelected="1" topLeftCell="G7" workbookViewId="0">
      <selection activeCell="A3" sqref="A3:K27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17</v>
      </c>
      <c r="F2" s="1">
        <f t="array" ref="F2">MAX(LENB(Sheet1!C1:'Sheet1'!C30))</f>
        <v>196</v>
      </c>
      <c r="H2" s="1">
        <f t="array" ref="H2">MAX(LENB(Sheet1!D1:'Sheet1'!D30))</f>
        <v>27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Dead             </v>
      </c>
      <c r="E5" s="3" t="s">
        <v>0</v>
      </c>
      <c r="F5" t="str">
        <f>" "&amp;LEFTB(Sheet1!C2&amp;REPT(" ",$F$2),$F$2)</f>
        <v xml:space="preserve"> Belcalis Almanzar, Jorden Thorpe, James Steed, Matthew Allen, Samuel Jiménez,                  Argel Lara, Saleem Allen, Omar Thorpe, Hide Miyabi                                                  </v>
      </c>
      <c r="G5" s="3" t="s">
        <v>0</v>
      </c>
      <c r="H5" t="str">
        <f>LEFTB(Sheet1!D2&amp;REPT(" ",$H$2),$H$2)</f>
        <v>Cardi B feat. Summer Walker</v>
      </c>
      <c r="I5" s="3" t="s">
        <v>0</v>
      </c>
      <c r="J5" s="2" t="str">
        <f>TEXT(Sheet1!E2,"HH:MM")&amp;" "</f>
        <v xml:space="preserve">04:06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Hello            </v>
      </c>
      <c r="E6" s="3" t="s">
        <v>0</v>
      </c>
      <c r="F6" t="str">
        <f>" "&amp;LEFTB(Sheet1!C3&amp;REPT(" ",$F$2),$F$2)</f>
        <v xml:space="preserve"> Belcalis Almanzar, Jorden Thorpe, James Steed, Matthew Allen                                       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Cardi B                    </v>
      </c>
      <c r="I6" s="3" t="s">
        <v>0</v>
      </c>
      <c r="J6" s="2" t="str">
        <f>TEXT(Sheet1!E3,"HH:MM")&amp;" "</f>
        <v xml:space="preserve">02:35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Magnet           </v>
      </c>
      <c r="E7" s="3" t="s">
        <v>0</v>
      </c>
      <c r="F7" t="str">
        <f>" "&amp;LEFTB(Sheet1!C4&amp;REPT(" ",$F$2),$F$2)</f>
        <v xml:space="preserve"> Belcalis Almanzar, Jorden Thorpe, Julius Rivera II, ILloyd McKenzie, Morris                  Jones, Maurice Washington, James Steed, Darryl Clemons, Kevin Price, Timothy                  McKibbins</v>
      </c>
      <c r="G7" s="3" t="s">
        <v>0</v>
      </c>
      <c r="H7" t="str">
        <f>LEFTB(Sheet1!D4&amp;REPT(" ",$H$2),$H$2)</f>
        <v xml:space="preserve">Cardi B                    </v>
      </c>
      <c r="I7" s="3" t="s">
        <v>0</v>
      </c>
      <c r="J7" s="2" t="str">
        <f>TEXT(Sheet1!E4,"HH:MM")&amp;" "</f>
        <v xml:space="preserve">02:58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Pick It Up       </v>
      </c>
      <c r="E8" s="3" t="s">
        <v>0</v>
      </c>
      <c r="F8" t="str">
        <f>" "&amp;LEFTB(Sheet1!C5&amp;REPT(" ",$F$2),$F$2)</f>
        <v xml:space="preserve"> Belcalis Almanzar, Jorden Thorpe, Roosevelt Jean, Adrienne Ben Haim, Lewis                  Shoates, Philip Constable                                                                               </v>
      </c>
      <c r="G8" s="3" t="s">
        <v>0</v>
      </c>
      <c r="H8" t="str">
        <f>LEFTB(Sheet1!D5&amp;REPT(" ",$H$2),$H$2)</f>
        <v xml:space="preserve">Cardi B feat. Serena Gomez </v>
      </c>
      <c r="I8" s="3" t="s">
        <v>0</v>
      </c>
      <c r="J8" s="2" t="str">
        <f>TEXT(Sheet1!E5,"HH:MM")&amp;" "</f>
        <v xml:space="preserve">02:40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>Imaginary Playerz</v>
      </c>
      <c r="E9" s="3" t="s">
        <v>0</v>
      </c>
      <c r="F9" t="str">
        <f>" "&amp;LEFTB(Sheet1!C6&amp;REPT(" ",$F$2),$F$2)</f>
        <v xml:space="preserve"> Belcalis Almanzar, Jorden Thorpe, James Steed, Matthew Allen, Saleem Allen              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Cardi B                    </v>
      </c>
      <c r="I9" s="3" t="s">
        <v>0</v>
      </c>
      <c r="J9" s="2" t="str">
        <f>TEXT(Sheet1!E6,"HH:MM")&amp;" "</f>
        <v xml:space="preserve">03:27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Bodega Baddie    </v>
      </c>
      <c r="E10" s="3" t="s">
        <v>0</v>
      </c>
      <c r="F10" t="str">
        <f>" "&amp;LEFTB(Sheet1!C7&amp;REPT(" ",$F$2),$F$2)</f>
        <v xml:space="preserve"> Belcalis AlmanzarRoosevelt Jean, Fourtee Crawford, Kofi Amponsah, Gilbert                  Baba, Juan de los Santos                                                                                 </v>
      </c>
      <c r="G10" s="3" t="s">
        <v>0</v>
      </c>
      <c r="H10" t="str">
        <f>LEFTB(Sheet1!D7&amp;REPT(" ",$H$2),$H$2)</f>
        <v xml:space="preserve">Cardi B                    </v>
      </c>
      <c r="I10" s="3" t="s">
        <v>0</v>
      </c>
      <c r="J10" s="2" t="str">
        <f>TEXT(Sheet1!E7,"HH:MM")&amp;" "</f>
        <v xml:space="preserve">01:44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Salute           </v>
      </c>
      <c r="E11" s="3" t="s">
        <v>0</v>
      </c>
      <c r="F11" t="str">
        <f>" "&amp;LEFTB(Sheet1!C8&amp;REPT(" ",$F$2),$F$2)</f>
        <v xml:space="preserve"> Belcalis Almanzar, Jorden Thorpe, Bryan Simmons, Lesidney Ragland, Daan                  Huljbregts, Casey Millan, Quentin Shemwell, Gary Terrell Jr., Tauheed Epps                                 </v>
      </c>
      <c r="G11" s="3" t="s">
        <v>0</v>
      </c>
      <c r="H11" t="str">
        <f>LEFTB(Sheet1!D8&amp;REPT(" ",$H$2),$H$2)</f>
        <v xml:space="preserve">Cardi B                    </v>
      </c>
      <c r="I11" s="3" t="s">
        <v>0</v>
      </c>
      <c r="J11" s="2" t="str">
        <f>TEXT(Sheet1!E8,"HH:MM")&amp;" "</f>
        <v xml:space="preserve">02:34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Safe             </v>
      </c>
      <c r="E12" s="3" t="s">
        <v>0</v>
      </c>
      <c r="F12" t="str">
        <f>" "&amp;LEFTB(Sheet1!C9&amp;REPT(" ",$F$2),$F$2)</f>
        <v xml:space="preserve"> Belcalis Almanzar, Kehlani Parrish, Jorden Thorpe, James Steed, Matthew                  Allen                                                                                                      </v>
      </c>
      <c r="G12" s="3" t="s">
        <v>0</v>
      </c>
      <c r="H12" t="str">
        <f>LEFTB(Sheet1!D9&amp;REPT(" ",$H$2),$H$2)</f>
        <v xml:space="preserve">Cardi B feat. Kehlani      </v>
      </c>
      <c r="I12" s="3" t="s">
        <v>0</v>
      </c>
      <c r="J12" s="2" t="str">
        <f>TEXT(Sheet1!E9,"HH:MM")&amp;" "</f>
        <v xml:space="preserve">02:57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Man of Your Word </v>
      </c>
      <c r="E13" s="3" t="s">
        <v>0</v>
      </c>
      <c r="F13" t="str">
        <f>" "&amp;LEFTB(Sheet1!C10&amp;REPT(" ",$F$2),$F$2)</f>
        <v xml:space="preserve"> Belcalis Almanzar, Douglas Ford, Javaan Anderson, Jeff Kleinman                                                                                                                                     </v>
      </c>
      <c r="G13" s="3" t="s">
        <v>0</v>
      </c>
      <c r="H13" t="str">
        <f>LEFTB(Sheet1!D10&amp;REPT(" ",$H$2),$H$2)</f>
        <v xml:space="preserve">Cardi B feat. Dougie F     </v>
      </c>
      <c r="I13" s="3" t="s">
        <v>0</v>
      </c>
      <c r="J13" s="2" t="str">
        <f>TEXT(Sheet1!E10,"HH:MM")&amp;" "</f>
        <v xml:space="preserve">03:27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What's Goin On   </v>
      </c>
      <c r="E14" s="3" t="s">
        <v>0</v>
      </c>
      <c r="F14" t="str">
        <f>" "&amp;LEFTB(Sheet1!C11&amp;REPT(" ",$F$2),$F$2)</f>
        <v xml:space="preserve"> Belcalis Almanzar, Melissa Jefferson, Roosevelt Jean, Javaan Anderson,                  Ben Haim, Shoates, Duwayne Mills, Constable, Ricky Reed, Linda Perry                                        </v>
      </c>
      <c r="G14" s="3" t="s">
        <v>0</v>
      </c>
      <c r="H14" t="str">
        <f>LEFTB(Sheet1!D11&amp;REPT(" ",$H$2),$H$2)</f>
        <v xml:space="preserve">Cardi B feat: Lizzo        </v>
      </c>
      <c r="I14" s="3" t="s">
        <v>0</v>
      </c>
      <c r="J14" s="2" t="str">
        <f>TEXT(Sheet1!E11,"HH:MM")&amp;" "</f>
        <v xml:space="preserve">03:26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Shower Tears     </v>
      </c>
      <c r="E15" s="3" t="s">
        <v>0</v>
      </c>
      <c r="F15" t="str">
        <f>" "&amp;LEFTB(Sheet1!C12&amp;REPT(" ",$F$2),$F$2)</f>
        <v xml:space="preserve"> Belcalis Almanzar, Nija Charles, Torae Carr, Roosevelt Jean, Jonathan Descartes,                  Avery Earl, Donnie Meadows, Scott Carter, Vanessa Wood, Ali Prawl                                 </v>
      </c>
      <c r="G15" s="3" t="s">
        <v>0</v>
      </c>
      <c r="H15" t="str">
        <f>LEFTB(Sheet1!D12&amp;REPT(" ",$H$2),$H$2)</f>
        <v>Cardi B feat. Summer Walker</v>
      </c>
      <c r="I15" s="3" t="s">
        <v>0</v>
      </c>
      <c r="J15" s="2" t="str">
        <f>TEXT(Sheet1!E12,"HH:MM")&amp;" "</f>
        <v xml:space="preserve">03:03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Outside          </v>
      </c>
      <c r="E16" s="3" t="s">
        <v>0</v>
      </c>
      <c r="F16" t="str">
        <f>" "&amp;LEFTB(Sheet1!C13&amp;REPT(" ",$F$2),$F$2)</f>
        <v xml:space="preserve"> Belcalis Almanzar, Jorden Thorpe, Roosevelt Jean, Yakki Davis, Ernest Brown                  III, Micaela Moore, James Steed                                                                        </v>
      </c>
      <c r="G16" s="3" t="s">
        <v>0</v>
      </c>
      <c r="H16" t="str">
        <f>LEFTB(Sheet1!D13&amp;REPT(" ",$H$2),$H$2)</f>
        <v xml:space="preserve">Cardi B                    </v>
      </c>
      <c r="I16" s="3" t="s">
        <v>0</v>
      </c>
      <c r="J16" s="2" t="str">
        <f>TEXT(Sheet1!E13,"HH:MM")&amp;" "</f>
        <v xml:space="preserve">03:04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Pretty &amp; Petty   </v>
      </c>
      <c r="E17" s="3" t="s">
        <v>0</v>
      </c>
      <c r="F17" t="str">
        <f>" "&amp;LEFTB(Sheet1!C14&amp;REPT(" ",$F$2),$F$2)</f>
        <v xml:space="preserve"> Belcalis Almanzar, Jorden Thorpe, James Steed, Matthew Allen                  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Cardi B                    </v>
      </c>
      <c r="I17" s="3" t="s">
        <v>0</v>
      </c>
      <c r="J17" s="2" t="str">
        <f>TEXT(Sheet1!E14,"HH:MM")&amp;" "</f>
        <v xml:space="preserve">02:29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Better Than You  </v>
      </c>
      <c r="E18" s="3" t="s">
        <v>0</v>
      </c>
      <c r="F18" t="str">
        <f>" "&amp;LEFTB(Sheet1!C15&amp;REPT(" ",$F$2),$F$2)</f>
        <v xml:space="preserve"> Belcalis Almanzar, Cashmere Small, Jordan Thorpe, Javaan Anderson, Michael                  Mulé, Isaac De Boni, Javaan Anderson Hernandez, Norman Ingram                                          </v>
      </c>
      <c r="G18" s="3" t="s">
        <v>0</v>
      </c>
      <c r="H18" t="str">
        <f>LEFTB(Sheet1!D15&amp;REPT(" ",$H$2),$H$2)</f>
        <v xml:space="preserve">Cardi B feat. Cash Cobain  </v>
      </c>
      <c r="I18" s="3" t="s">
        <v>0</v>
      </c>
      <c r="J18" s="2" t="str">
        <f>TEXT(Sheet1!E15,"HH:MM")&amp;" "</f>
        <v xml:space="preserve">02:01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On My Back       </v>
      </c>
      <c r="E19" s="3" t="s">
        <v>0</v>
      </c>
      <c r="F19" t="str">
        <f>" "&amp;LEFTB(Sheet1!C16&amp;REPT(" ",$F$2),$F$2)</f>
        <v xml:space="preserve"> Belcalis Almanzar, Alyssa Cantu, Jorden Thorpe, Brandon Hamlin, Shae Jacobs,                  James Harris, Terry Lewis                                                                             </v>
      </c>
      <c r="G19" s="3" t="s">
        <v>0</v>
      </c>
      <c r="H19" t="str">
        <f>LEFTB(Sheet1!D16&amp;REPT(" ",$H$2),$H$2)</f>
        <v xml:space="preserve">Cardi B feat. Lourdiz      </v>
      </c>
      <c r="I19" s="3" t="s">
        <v>0</v>
      </c>
      <c r="J19" s="2" t="str">
        <f>TEXT(Sheet1!E16,"HH:MM")&amp;" "</f>
        <v xml:space="preserve">02:43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Errtime          </v>
      </c>
      <c r="E20" s="3" t="s">
        <v>0</v>
      </c>
      <c r="F20" t="str">
        <f>" "&amp;LEFTB(Sheet1!C17&amp;REPT(" ",$F$2),$F$2)</f>
        <v xml:space="preserve"> Belcalis Almanzar, Jorden Thorpe, Javaan Anderson, James Steed, Matthew                  Allen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Cardi B                    </v>
      </c>
      <c r="I20" s="3" t="s">
        <v>0</v>
      </c>
      <c r="J20" s="2" t="str">
        <f>TEXT(Sheet1!E17,"HH:MM")&amp;" "</f>
        <v xml:space="preserve">03:02 </v>
      </c>
      <c r="K20" s="3" t="s">
        <v>0</v>
      </c>
    </row>
    <row r="21" spans="1:11">
      <c r="A21" t="s">
        <v>0</v>
      </c>
      <c r="B21">
        <f>Sheet1!A18</f>
        <v>17</v>
      </c>
      <c r="C21" s="3" t="s">
        <v>0</v>
      </c>
      <c r="D21" t="str">
        <f>LEFTB(Sheet1!B18&amp;REPT(" ",$D$2),$D$2)</f>
        <v xml:space="preserve">Check Please     </v>
      </c>
      <c r="E21" s="3" t="s">
        <v>0</v>
      </c>
      <c r="F21" t="str">
        <f>" "&amp;LEFTB(Sheet1!C18&amp;REPT(" ",$F$2),$F$2)</f>
        <v xml:space="preserve"> Belcalis Almanzar, Jorden Thorpe, James Steed, Matthew Allen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Cardi B                    </v>
      </c>
      <c r="I21" s="3" t="s">
        <v>0</v>
      </c>
      <c r="J21" s="2" t="str">
        <f>TEXT(Sheet1!E18,"HH:MM")&amp;" "</f>
        <v xml:space="preserve">03:16 </v>
      </c>
      <c r="K21" s="3" t="s">
        <v>0</v>
      </c>
    </row>
    <row r="22" spans="1:11">
      <c r="A22" t="s">
        <v>0</v>
      </c>
      <c r="B22">
        <f>Sheet1!A19</f>
        <v>18</v>
      </c>
      <c r="C22" s="3" t="s">
        <v>0</v>
      </c>
      <c r="D22" t="str">
        <f>LEFTB(Sheet1!B19&amp;REPT(" ",$D$2),$D$2)</f>
        <v xml:space="preserve">Principal        </v>
      </c>
      <c r="E22" s="3" t="s">
        <v>0</v>
      </c>
      <c r="F22" t="str">
        <f>" "&amp;LEFTB(Sheet1!C19&amp;REPT(" ",$F$2),$F$2)</f>
        <v xml:space="preserve"> Belcalis Almanzar, Jorden Thorpe, Monte Moir, Omar Perrin, Deandre Sumpter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>Cardi B feat. Janet Jackson</v>
      </c>
      <c r="I22" s="3" t="s">
        <v>0</v>
      </c>
      <c r="J22" s="2" t="str">
        <f>TEXT(Sheet1!E19,"HH:MM")&amp;" "</f>
        <v xml:space="preserve">03:50 </v>
      </c>
      <c r="K22" s="3" t="s">
        <v>0</v>
      </c>
    </row>
    <row r="23" spans="1:11">
      <c r="A23" t="s">
        <v>0</v>
      </c>
      <c r="B23">
        <f>Sheet1!A20</f>
        <v>19</v>
      </c>
      <c r="C23" s="3" t="s">
        <v>0</v>
      </c>
      <c r="D23" t="str">
        <f>LEFTB(Sheet1!B20&amp;REPT(" ",$D$2),$D$2)</f>
        <v xml:space="preserve">Trophies         </v>
      </c>
      <c r="E23" s="3" t="s">
        <v>0</v>
      </c>
      <c r="F23" t="str">
        <f>" "&amp;LEFTB(Sheet1!C20&amp;REPT(" ",$F$2),$F$2)</f>
        <v xml:space="preserve"> Belcalis Almanzar, James Steed, Matthew Allen, Omar Thorpe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Cardi B                    </v>
      </c>
      <c r="I23" s="3" t="s">
        <v>0</v>
      </c>
      <c r="J23" s="2" t="str">
        <f>TEXT(Sheet1!E20,"HH:MM")&amp;" "</f>
        <v xml:space="preserve">02:36 </v>
      </c>
      <c r="K23" s="3" t="s">
        <v>0</v>
      </c>
    </row>
    <row r="24" spans="1:11">
      <c r="A24" t="s">
        <v>0</v>
      </c>
      <c r="B24">
        <f>Sheet1!A21</f>
        <v>20</v>
      </c>
      <c r="C24" s="3" t="s">
        <v>0</v>
      </c>
      <c r="D24" t="str">
        <f>LEFTB(Sheet1!B21&amp;REPT(" ",$D$2),$D$2)</f>
        <v xml:space="preserve">Nice Guy         </v>
      </c>
      <c r="E24" s="3" t="s">
        <v>0</v>
      </c>
      <c r="F24" t="str">
        <f>" "&amp;LEFTB(Sheet1!C21&amp;REPT(" ",$F$2),$F$2)</f>
        <v xml:space="preserve"> Belcalis Almanzar, Tyla Seethal, Almando Cresso, Hailey Rusch, London Holmes,                  Javier Mercado, Steven Giron, Kevin Price                                                            </v>
      </c>
      <c r="G24" s="3" t="s">
        <v>0</v>
      </c>
      <c r="H24" t="str">
        <f>LEFTB(Sheet1!D21&amp;REPT(" ",$H$2),$H$2)</f>
        <v xml:space="preserve">Cardi B feat. Tyla         </v>
      </c>
      <c r="I24" s="3" t="s">
        <v>0</v>
      </c>
      <c r="J24" s="2" t="str">
        <f>TEXT(Sheet1!E21,"HH:MM")&amp;" "</f>
        <v xml:space="preserve">03:07 </v>
      </c>
      <c r="K24" s="3" t="s">
        <v>0</v>
      </c>
    </row>
    <row r="25" spans="1:11">
      <c r="A25" t="s">
        <v>0</v>
      </c>
      <c r="B25">
        <f>Sheet1!A22</f>
        <v>21</v>
      </c>
      <c r="C25" s="3" t="s">
        <v>0</v>
      </c>
      <c r="D25" t="str">
        <f>LEFTB(Sheet1!B22&amp;REPT(" ",$D$2),$D$2)</f>
        <v xml:space="preserve">Killin You Hoes  </v>
      </c>
      <c r="E25" s="3" t="s">
        <v>0</v>
      </c>
      <c r="F25" t="str">
        <f>" "&amp;LEFTB(Sheet1!C22&amp;REPT(" ",$F$2),$F$2)</f>
        <v xml:space="preserve"> Belcalis Almanzar, Jorden Thorpe, Edward Davadi, James Steed, Samuel Jim?nez,                  Don, Katrina Laverne Kearse                                                                          </v>
      </c>
      <c r="G25" s="3" t="s">
        <v>0</v>
      </c>
      <c r="H25" t="str">
        <f>LEFTB(Sheet1!D22&amp;REPT(" ",$H$2),$H$2)</f>
        <v xml:space="preserve">Cardi B                    </v>
      </c>
      <c r="I25" s="3" t="s">
        <v>0</v>
      </c>
      <c r="J25" s="2" t="str">
        <f>TEXT(Sheet1!E22,"HH:MM")&amp;" "</f>
        <v xml:space="preserve">03:49 </v>
      </c>
      <c r="K25" s="3" t="s">
        <v>0</v>
      </c>
    </row>
    <row r="26" spans="1:11">
      <c r="A26" t="s">
        <v>0</v>
      </c>
      <c r="B26">
        <f>Sheet1!A23</f>
        <v>22</v>
      </c>
      <c r="C26" s="3" t="s">
        <v>0</v>
      </c>
      <c r="D26" t="str">
        <f>LEFTB(Sheet1!B23&amp;REPT(" ",$D$2),$D$2)</f>
        <v xml:space="preserve">Up               </v>
      </c>
      <c r="E26" s="3" t="s">
        <v>0</v>
      </c>
      <c r="F26" t="str">
        <f>" "&amp;LEFTB(Sheet1!C23&amp;REPT(" ",$F$2),$F$2)</f>
        <v xml:space="preserve"> Belcalis Almanzar, Jorden Thorpe, James Steed, Matthew Allen, Joshua Baker,                  Edis Selmani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Cardi B                    </v>
      </c>
      <c r="I26" s="3" t="s">
        <v>0</v>
      </c>
      <c r="J26" s="2" t="str">
        <f>TEXT(Sheet1!E23,"HH:MM")&amp;" "</f>
        <v xml:space="preserve">02:36 </v>
      </c>
      <c r="K26" s="3" t="s">
        <v>0</v>
      </c>
    </row>
    <row r="27" spans="1:11">
      <c r="A27" t="s">
        <v>0</v>
      </c>
      <c r="B27">
        <f>Sheet1!A24</f>
        <v>23</v>
      </c>
      <c r="C27" s="3" t="s">
        <v>0</v>
      </c>
      <c r="D27" t="str">
        <f>LEFTB(Sheet1!B24&amp;REPT(" ",$D$2),$D$2)</f>
        <v xml:space="preserve">WAP              </v>
      </c>
      <c r="E27" s="3" t="s">
        <v>0</v>
      </c>
      <c r="F27" t="str">
        <f>" "&amp;LEFTB(Sheet1!C24&amp;REPT(" ",$F$2),$F$2)</f>
        <v xml:space="preserve"> Belcalis Almanzar, Jorden Thorpe, Megan Pete, Austin Owens, James Foye                  III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Cardi B                    </v>
      </c>
      <c r="I27" s="3" t="s">
        <v>0</v>
      </c>
      <c r="J27" s="2" t="str">
        <f>TEXT(Sheet1!E24,"HH:MM")&amp;" "</f>
        <v xml:space="preserve">03:07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  <row r="31" spans="1:11">
      <c r="A31" t="s">
        <v>0</v>
      </c>
      <c r="B31">
        <f>Sheet1!A28</f>
        <v>0</v>
      </c>
      <c r="C31" s="3" t="s">
        <v>0</v>
      </c>
      <c r="D31" t="str">
        <f>LEFTB(Sheet1!B28&amp;REPT(" ",$D$2),$D$2)</f>
        <v xml:space="preserve">                 </v>
      </c>
      <c r="E31" s="3" t="s">
        <v>0</v>
      </c>
      <c r="F31" t="str">
        <f>" "&amp;LEFTB(Sheet1!C28&amp;REPT(" ",$F$2),$F$2)</f>
        <v xml:space="preserve">                                                                                                                                                                                                     </v>
      </c>
      <c r="G31" s="3" t="s">
        <v>0</v>
      </c>
      <c r="H31" t="str">
        <f>LEFTB(Sheet1!D28&amp;REPT(" ",$H$2),$H$2)</f>
        <v xml:space="preserve">                           </v>
      </c>
      <c r="I31" s="3" t="s">
        <v>0</v>
      </c>
      <c r="J31" s="2" t="str">
        <f>TEXT(Sheet1!E28,"HH:MM")&amp;" "</f>
        <v xml:space="preserve">00:00 </v>
      </c>
      <c r="K31" s="3" t="s">
        <v>0</v>
      </c>
    </row>
    <row r="32" spans="1:11">
      <c r="A32" t="s">
        <v>0</v>
      </c>
      <c r="B32">
        <f>Sheet1!A29</f>
        <v>0</v>
      </c>
      <c r="C32" s="3" t="s">
        <v>0</v>
      </c>
      <c r="D32" t="str">
        <f>LEFTB(Sheet1!B29&amp;REPT(" ",$D$2),$D$2)</f>
        <v xml:space="preserve">                 </v>
      </c>
      <c r="E32" s="3" t="s">
        <v>0</v>
      </c>
      <c r="F32" t="str">
        <f>" "&amp;LEFTB(Sheet1!C29&amp;REPT(" ",$F$2),$F$2)</f>
        <v xml:space="preserve">                                                                                                                                                                                                     </v>
      </c>
      <c r="G32" s="3" t="s">
        <v>0</v>
      </c>
      <c r="H32" t="str">
        <f>LEFTB(Sheet1!D29&amp;REPT(" ",$H$2),$H$2)</f>
        <v xml:space="preserve">                           </v>
      </c>
      <c r="I32" s="3" t="s">
        <v>0</v>
      </c>
      <c r="J32" s="2" t="str">
        <f>TEXT(Sheet1!E29,"HH:MM")&amp;" "</f>
        <v xml:space="preserve">00:00 </v>
      </c>
      <c r="K32" s="3" t="s">
        <v>0</v>
      </c>
    </row>
    <row r="33" spans="1:11">
      <c r="A33" t="s">
        <v>0</v>
      </c>
      <c r="B33">
        <f>Sheet1!A30</f>
        <v>0</v>
      </c>
      <c r="C33" s="3" t="s">
        <v>0</v>
      </c>
      <c r="D33" t="str">
        <f>LEFTB(Sheet1!B30&amp;REPT(" ",$D$2),$D$2)</f>
        <v xml:space="preserve">                 </v>
      </c>
      <c r="E33" s="3" t="s">
        <v>0</v>
      </c>
      <c r="F33" t="str">
        <f>" "&amp;LEFTB(Sheet1!C30&amp;REPT(" ",$F$2),$F$2)</f>
        <v xml:space="preserve">                                                                                                                                                                                                     </v>
      </c>
      <c r="G33" s="3" t="s">
        <v>0</v>
      </c>
      <c r="H33" t="str">
        <f>LEFTB(Sheet1!D30&amp;REPT(" ",$H$2),$H$2)</f>
        <v xml:space="preserve">                           </v>
      </c>
      <c r="I33" s="3" t="s">
        <v>0</v>
      </c>
      <c r="J33" s="2" t="str">
        <f>TEXT(Sheet1!E30,"HH:MM")&amp;" "</f>
        <v xml:space="preserve">00:00 </v>
      </c>
      <c r="K33" s="3" t="s">
        <v>0</v>
      </c>
    </row>
    <row r="34" spans="1:11">
      <c r="A34" t="s">
        <v>0</v>
      </c>
      <c r="B34">
        <f>Sheet1!A31</f>
        <v>0</v>
      </c>
      <c r="C34" s="3" t="s">
        <v>0</v>
      </c>
      <c r="D34" t="str">
        <f>LEFTB(Sheet1!B31&amp;REPT(" ",$D$2),$D$2)</f>
        <v xml:space="preserve">                 </v>
      </c>
      <c r="E34" s="3" t="s">
        <v>0</v>
      </c>
      <c r="F34" t="str">
        <f>" "&amp;LEFTB(Sheet1!C31&amp;REPT(" ",$F$2),$F$2)</f>
        <v xml:space="preserve">                                                                                                                                                                                                     </v>
      </c>
      <c r="G34" s="3" t="s">
        <v>0</v>
      </c>
      <c r="H34" t="str">
        <f>LEFTB(Sheet1!D31&amp;REPT(" ",$H$2),$H$2)</f>
        <v xml:space="preserve">                           </v>
      </c>
      <c r="I34" s="3" t="s">
        <v>0</v>
      </c>
      <c r="J34" s="2" t="str">
        <f>TEXT(Sheet1!E31,"HH:MM")&amp;" "</f>
        <v xml:space="preserve">00:00 </v>
      </c>
      <c r="K34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28C23-1A35-4476-9ADC-EC4054F10E1E}">
  <dimension ref="A1:E24"/>
  <sheetViews>
    <sheetView workbookViewId="0">
      <selection sqref="A1:XFD1048576"/>
    </sheetView>
  </sheetViews>
  <sheetFormatPr defaultRowHeight="19.5"/>
  <cols>
    <col min="1" max="1" width="11" bestFit="1" customWidth="1"/>
    <col min="2" max="2" width="17.33203125" bestFit="1" customWidth="1"/>
    <col min="3" max="3" width="80.88671875" bestFit="1" customWidth="1"/>
    <col min="4" max="4" width="27.2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0.17083333333333334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0.1076388888888889</v>
      </c>
    </row>
    <row r="4" spans="1:5">
      <c r="A4">
        <v>3</v>
      </c>
      <c r="B4" s="6" t="s">
        <v>14</v>
      </c>
      <c r="C4" s="6" t="s">
        <v>15</v>
      </c>
      <c r="D4" s="6" t="s">
        <v>13</v>
      </c>
      <c r="E4" s="5">
        <v>0.12361111111111112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0.1111111111111111</v>
      </c>
    </row>
    <row r="6" spans="1:5">
      <c r="A6">
        <v>5</v>
      </c>
      <c r="B6" s="6" t="s">
        <v>19</v>
      </c>
      <c r="C6" s="6" t="s">
        <v>20</v>
      </c>
      <c r="D6" s="6" t="s">
        <v>13</v>
      </c>
      <c r="E6" s="5">
        <v>0.14374999999999999</v>
      </c>
    </row>
    <row r="7" spans="1:5">
      <c r="A7">
        <v>6</v>
      </c>
      <c r="B7" s="6" t="s">
        <v>21</v>
      </c>
      <c r="C7" s="6" t="s">
        <v>22</v>
      </c>
      <c r="D7" s="6" t="s">
        <v>13</v>
      </c>
      <c r="E7" s="5">
        <v>7.2222222222222215E-2</v>
      </c>
    </row>
    <row r="8" spans="1:5">
      <c r="A8">
        <v>7</v>
      </c>
      <c r="B8" s="6" t="s">
        <v>23</v>
      </c>
      <c r="C8" s="6" t="s">
        <v>24</v>
      </c>
      <c r="D8" s="6" t="s">
        <v>13</v>
      </c>
      <c r="E8" s="5">
        <v>0.10694444444444444</v>
      </c>
    </row>
    <row r="9" spans="1:5">
      <c r="A9">
        <v>8</v>
      </c>
      <c r="B9" s="6" t="s">
        <v>25</v>
      </c>
      <c r="C9" s="6" t="s">
        <v>26</v>
      </c>
      <c r="D9" s="6" t="s">
        <v>27</v>
      </c>
      <c r="E9" s="5">
        <v>0.12291666666666666</v>
      </c>
    </row>
    <row r="10" spans="1:5">
      <c r="A10">
        <v>9</v>
      </c>
      <c r="B10" s="6" t="s">
        <v>28</v>
      </c>
      <c r="C10" s="6" t="s">
        <v>29</v>
      </c>
      <c r="D10" s="6" t="s">
        <v>30</v>
      </c>
      <c r="E10" s="5">
        <v>0.14374999999999999</v>
      </c>
    </row>
    <row r="11" spans="1:5">
      <c r="A11">
        <v>10</v>
      </c>
      <c r="B11" s="6" t="s">
        <v>31</v>
      </c>
      <c r="C11" s="6" t="s">
        <v>32</v>
      </c>
      <c r="D11" s="6" t="s">
        <v>33</v>
      </c>
      <c r="E11" s="5">
        <v>0.14305555555555555</v>
      </c>
    </row>
    <row r="12" spans="1:5">
      <c r="A12">
        <v>11</v>
      </c>
      <c r="B12" s="6" t="s">
        <v>34</v>
      </c>
      <c r="C12" s="6" t="s">
        <v>35</v>
      </c>
      <c r="D12" s="6" t="s">
        <v>10</v>
      </c>
      <c r="E12" s="5">
        <v>0.12708333333333333</v>
      </c>
    </row>
    <row r="13" spans="1:5">
      <c r="A13">
        <v>12</v>
      </c>
      <c r="B13" s="6" t="s">
        <v>36</v>
      </c>
      <c r="C13" s="6" t="s">
        <v>37</v>
      </c>
      <c r="D13" s="6" t="s">
        <v>13</v>
      </c>
      <c r="E13" s="5">
        <v>0.12777777777777777</v>
      </c>
    </row>
    <row r="14" spans="1:5">
      <c r="A14">
        <v>13</v>
      </c>
      <c r="B14" s="6" t="s">
        <v>38</v>
      </c>
      <c r="C14" s="6" t="s">
        <v>12</v>
      </c>
      <c r="D14" s="6" t="s">
        <v>13</v>
      </c>
      <c r="E14" s="5">
        <v>0.10347222222222222</v>
      </c>
    </row>
    <row r="15" spans="1:5">
      <c r="A15">
        <v>14</v>
      </c>
      <c r="B15" s="6" t="s">
        <v>39</v>
      </c>
      <c r="C15" s="6" t="s">
        <v>40</v>
      </c>
      <c r="D15" s="6" t="s">
        <v>41</v>
      </c>
      <c r="E15" s="5">
        <v>8.4027777777777785E-2</v>
      </c>
    </row>
    <row r="16" spans="1:5">
      <c r="A16">
        <v>15</v>
      </c>
      <c r="B16" s="6" t="s">
        <v>42</v>
      </c>
      <c r="C16" s="6" t="s">
        <v>43</v>
      </c>
      <c r="D16" s="6" t="s">
        <v>44</v>
      </c>
      <c r="E16" s="5">
        <v>0.11319444444444444</v>
      </c>
    </row>
    <row r="17" spans="1:5">
      <c r="A17">
        <v>16</v>
      </c>
      <c r="B17" s="6" t="s">
        <v>45</v>
      </c>
      <c r="C17" s="6" t="s">
        <v>46</v>
      </c>
      <c r="D17" s="6" t="s">
        <v>13</v>
      </c>
      <c r="E17" s="5">
        <v>0.12638888888888888</v>
      </c>
    </row>
    <row r="18" spans="1:5">
      <c r="A18">
        <v>17</v>
      </c>
      <c r="B18" s="6" t="s">
        <v>47</v>
      </c>
      <c r="C18" s="6" t="s">
        <v>12</v>
      </c>
      <c r="D18" s="6" t="s">
        <v>13</v>
      </c>
      <c r="E18" s="5">
        <v>0.1361111111111111</v>
      </c>
    </row>
    <row r="19" spans="1:5">
      <c r="A19">
        <v>18</v>
      </c>
      <c r="B19" s="6" t="s">
        <v>48</v>
      </c>
      <c r="C19" s="6" t="s">
        <v>49</v>
      </c>
      <c r="D19" s="6" t="s">
        <v>50</v>
      </c>
      <c r="E19" s="5">
        <v>0.15972222222222221</v>
      </c>
    </row>
    <row r="20" spans="1:5">
      <c r="A20">
        <v>19</v>
      </c>
      <c r="B20" s="6" t="s">
        <v>51</v>
      </c>
      <c r="C20" s="6" t="s">
        <v>52</v>
      </c>
      <c r="D20" s="6" t="s">
        <v>13</v>
      </c>
      <c r="E20" s="5">
        <v>0.10833333333333334</v>
      </c>
    </row>
    <row r="21" spans="1:5">
      <c r="A21">
        <v>20</v>
      </c>
      <c r="B21" s="6" t="s">
        <v>53</v>
      </c>
      <c r="C21" s="6" t="s">
        <v>54</v>
      </c>
      <c r="D21" s="6" t="s">
        <v>55</v>
      </c>
      <c r="E21" s="5">
        <v>0.12986111111111112</v>
      </c>
    </row>
    <row r="22" spans="1:5">
      <c r="A22">
        <v>21</v>
      </c>
      <c r="B22" s="6" t="s">
        <v>56</v>
      </c>
      <c r="C22" s="6" t="s">
        <v>57</v>
      </c>
      <c r="D22" s="6" t="s">
        <v>13</v>
      </c>
      <c r="E22" s="5">
        <v>0.15902777777777777</v>
      </c>
    </row>
    <row r="23" spans="1:5">
      <c r="A23">
        <v>22</v>
      </c>
      <c r="B23" s="6" t="s">
        <v>58</v>
      </c>
      <c r="C23" s="6" t="s">
        <v>59</v>
      </c>
      <c r="D23" s="6" t="s">
        <v>13</v>
      </c>
      <c r="E23" s="5">
        <v>0.10833333333333334</v>
      </c>
    </row>
    <row r="24" spans="1:5">
      <c r="A24">
        <v>23</v>
      </c>
      <c r="B24" s="6" t="s">
        <v>60</v>
      </c>
      <c r="C24" s="6" t="s">
        <v>61</v>
      </c>
      <c r="D24" s="6" t="s">
        <v>13</v>
      </c>
      <c r="E24" s="5">
        <v>0.12986111111111112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5770-8EFB-4435-AF37-0E4A6E2C9DAD}">
  <dimension ref="A1"/>
  <sheetViews>
    <sheetView workbookViewId="0"/>
  </sheetViews>
  <sheetFormatPr defaultRowHeight="19.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テーブル 5 (89)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2026-01-12T10:02:11Z</dcterms:modified>
</cp:coreProperties>
</file>